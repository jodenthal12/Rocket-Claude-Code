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asks" sheetId="2" state="visible" r:id="rId2"/>
    <sheet name="Invoices" sheetId="3" state="visible" r:id="rId3"/>
    <sheet name="Stores" sheetId="4" state="visible" r:id="rId4"/>
    <sheet name="Equipment Types" sheetId="5" state="visible" r:id="rId5"/>
    <sheet name="Trends" sheetId="6" state="visible" r:id="rId6"/>
  </sheets>
  <definedNames>
    <definedName name="StoreList">Stores!$A$2:$A$500</definedName>
    <definedName name="EquipList">'Equipment Types'!$A$2:$A$500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10"/>
    </font>
    <font>
      <color rgb="00222222"/>
      <sz val="11"/>
    </font>
    <font>
      <b val="1"/>
      <color rgb="001F3864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Tasks by Store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'Trends'!B5</f>
            </strRef>
          </tx>
          <spPr>
            <a:ln>
              <a:prstDash val="solid"/>
            </a:ln>
          </spPr>
          <cat>
            <numRef>
              <f>'Trends'!$A$6:$A$10</f>
            </numRef>
          </cat>
          <val>
            <numRef>
              <f>'Trends'!$B$6:$B$10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Cost by Store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'Trends'!C5</f>
            </strRef>
          </tx>
          <spPr>
            <a:ln>
              <a:prstDash val="solid"/>
            </a:ln>
          </spPr>
          <cat>
            <numRef>
              <f>'Trends'!$A$6:$A$10</f>
            </numRef>
          </cat>
          <val>
            <numRef>
              <f>'Trends'!$C$6:$C$10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Cost by Month ($)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'Trends'!$A$14:$A$25</f>
            </numRef>
          </cat>
          <val>
            <numRef>
              <f>'Trends'!$B$14:$B$25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Tasks by Equipment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'Trends'!F5</f>
            </strRef>
          </tx>
          <spPr>
            <a:ln>
              <a:prstDash val="solid"/>
            </a:ln>
          </spPr>
          <cat>
            <numRef>
              <f>'Trends'!$E$6:$E$12</f>
            </numRef>
          </cat>
          <val>
            <numRef>
              <f>'Trends'!$F$6:$F$12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3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19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asks" displayName="tblTasks" ref="A1:Q10" headerRowCount="1">
  <autoFilter ref="A1:Q10"/>
  <tableColumns count="17">
    <tableColumn id="1" name="Task #"/>
    <tableColumn id="2" name="Region"/>
    <tableColumn id="3" name="Store"/>
    <tableColumn id="4" name="Address"/>
    <tableColumn id="5" name="Description"/>
    <tableColumn id="6" name="Date Created"/>
    <tableColumn id="7" name="Assigned To"/>
    <tableColumn id="8" name="Vendor"/>
    <tableColumn id="9" name="Cost ($)"/>
    <tableColumn id="10" name="Budget ($)"/>
    <tableColumn id="11" name="Due Date"/>
    <tableColumn id="12" name="Priority"/>
    <tableColumn id="13" name="Type"/>
    <tableColumn id="14" name="Status"/>
    <tableColumn id="15" name="Equipment Type"/>
    <tableColumn id="16" name="Month"/>
    <tableColumn id="17" name="Notes"/>
  </tableColumns>
  <tableStyleInfo name="TableStyleMedium2" showRowStripes="1"/>
</table>
</file>

<file path=xl/tables/table2.xml><?xml version="1.0" encoding="utf-8"?>
<table xmlns="http://schemas.openxmlformats.org/spreadsheetml/2006/main" id="2" name="tblInvoices" displayName="tblInvoices" ref="A1:L2" headerRowCount="1">
  <autoFilter ref="A1:L2"/>
  <tableColumns count="12">
    <tableColumn id="1" name="Invoice Date"/>
    <tableColumn id="2" name="Month"/>
    <tableColumn id="3" name="Store"/>
    <tableColumn id="4" name="Equipment Type"/>
    <tableColumn id="5" name="Cost ($)"/>
    <tableColumn id="6" name="Vendor"/>
    <tableColumn id="7" name="Invoice #"/>
    <tableColumn id="8" name="Description"/>
    <tableColumn id="9" name="Status"/>
    <tableColumn id="10" name="Source (email)"/>
    <tableColumn id="11" name="Date Captured"/>
    <tableColumn id="12" name="Notes"/>
  </tableColumns>
  <tableStyleInfo name="TableStyleMedium4" showRowStripes="1"/>
</table>
</file>

<file path=xl/tables/table3.xml><?xml version="1.0" encoding="utf-8"?>
<table xmlns="http://schemas.openxmlformats.org/spreadsheetml/2006/main" id="3" name="tblStores" displayName="tblStores" ref="A1:C6" headerRowCount="1">
  <autoFilter ref="A1:C6"/>
  <tableColumns count="3">
    <tableColumn id="1" name="Store"/>
    <tableColumn id="2" name="Region"/>
    <tableColumn id="3" name="Address"/>
  </tableColumns>
  <tableStyleInfo name="TableStyleMedium7" showRowStripes="1"/>
</table>
</file>

<file path=xl/tables/table4.xml><?xml version="1.0" encoding="utf-8"?>
<table xmlns="http://schemas.openxmlformats.org/spreadsheetml/2006/main" id="4" name="tblEquip" displayName="tblEquip" ref="A1:B25" headerRowCount="1">
  <autoFilter ref="A1:B25"/>
  <tableColumns count="2">
    <tableColumn id="1" name="Equipment Type"/>
    <tableColumn id="2" name="Clas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Equipment &amp; Repair Tracker</t>
        </is>
      </c>
    </row>
    <row r="2">
      <c r="B2" s="2" t="inlineStr">
        <is>
          <t>Two sources, one tracker. Your Owl Ops tasks + your Outlook invoices.</t>
        </is>
      </c>
    </row>
    <row r="3">
      <c r="B3" s="3" t="inlineStr"/>
    </row>
    <row r="4">
      <c r="B4" s="4" t="inlineStr">
        <is>
          <t>THE TABS</t>
        </is>
      </c>
    </row>
    <row r="5">
      <c r="B5" s="3" t="inlineStr">
        <is>
          <t>• Tasks     → from Owl Ops (what broke, where). Your 9 tasks are loaded.</t>
        </is>
      </c>
    </row>
    <row r="6">
      <c r="B6" s="3" t="inlineStr">
        <is>
          <t>• Invoices  → from Outlook. THE ROBOT FILLS THIS automatically once set up.</t>
        </is>
      </c>
    </row>
    <row r="7">
      <c r="B7" s="3" t="inlineStr">
        <is>
          <t>• Stores / Equipment Types → drop-down lists.</t>
        </is>
      </c>
    </row>
    <row r="8">
      <c r="B8" s="3" t="inlineStr">
        <is>
          <t>• Trends    → charts. Task counts now; cost charts fill as invoices arrive.</t>
        </is>
      </c>
    </row>
    <row r="9">
      <c r="B9" s="3" t="inlineStr"/>
    </row>
    <row r="10">
      <c r="B10" s="4" t="inlineStr">
        <is>
          <t>THE INVOICE ROBOT</t>
        </is>
      </c>
    </row>
    <row r="11">
      <c r="B11" s="3" t="inlineStr">
        <is>
          <t>Set it up once (see the setup guide I sent). After that: an invoice hits Outlook →</t>
        </is>
      </c>
    </row>
    <row r="12">
      <c r="B12" s="3" t="inlineStr">
        <is>
          <t>a row appears on the Invoices tab by itself. You just glance weekly to set Equipment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40" customWidth="1" min="4" max="4"/>
    <col width="46" customWidth="1" min="5" max="5"/>
    <col width="13" customWidth="1" min="6" max="6"/>
    <col width="15" customWidth="1" min="7" max="7"/>
    <col width="18" customWidth="1" min="8" max="8"/>
    <col width="11" customWidth="1" min="9" max="9"/>
    <col width="11" customWidth="1" min="10" max="10"/>
    <col width="12" customWidth="1" min="11" max="11"/>
    <col width="12" customWidth="1" min="12" max="12"/>
    <col width="9" customWidth="1" min="13" max="13"/>
    <col width="9" customWidth="1" min="14" max="14"/>
    <col width="24" customWidth="1" min="15" max="15"/>
    <col width="9" customWidth="1" min="16" max="16"/>
    <col width="24" customWidth="1" min="17" max="17"/>
  </cols>
  <sheetData>
    <row r="1">
      <c r="A1" s="5" t="inlineStr">
        <is>
          <t>Task #</t>
        </is>
      </c>
      <c r="B1" s="5" t="inlineStr">
        <is>
          <t>Region</t>
        </is>
      </c>
      <c r="C1" s="5" t="inlineStr">
        <is>
          <t>Store</t>
        </is>
      </c>
      <c r="D1" s="5" t="inlineStr">
        <is>
          <t>Address</t>
        </is>
      </c>
      <c r="E1" s="5" t="inlineStr">
        <is>
          <t>Description</t>
        </is>
      </c>
      <c r="F1" s="5" t="inlineStr">
        <is>
          <t>Date Created</t>
        </is>
      </c>
      <c r="G1" s="5" t="inlineStr">
        <is>
          <t>Assigned To</t>
        </is>
      </c>
      <c r="H1" s="5" t="inlineStr">
        <is>
          <t>Vendor</t>
        </is>
      </c>
      <c r="I1" s="5" t="inlineStr">
        <is>
          <t>Cost ($)</t>
        </is>
      </c>
      <c r="J1" s="5" t="inlineStr">
        <is>
          <t>Budget ($)</t>
        </is>
      </c>
      <c r="K1" s="5" t="inlineStr">
        <is>
          <t>Due Date</t>
        </is>
      </c>
      <c r="L1" s="5" t="inlineStr">
        <is>
          <t>Priority</t>
        </is>
      </c>
      <c r="M1" s="5" t="inlineStr">
        <is>
          <t>Type</t>
        </is>
      </c>
      <c r="N1" s="5" t="inlineStr">
        <is>
          <t>Status</t>
        </is>
      </c>
      <c r="O1" s="5" t="inlineStr">
        <is>
          <t>Equipment Type</t>
        </is>
      </c>
      <c r="P1" s="5" t="inlineStr">
        <is>
          <t>Month</t>
        </is>
      </c>
      <c r="Q1" s="5" t="inlineStr">
        <is>
          <t>Notes</t>
        </is>
      </c>
    </row>
    <row r="2">
      <c r="A2" t="inlineStr">
        <is>
          <t>3430576</t>
        </is>
      </c>
      <c r="B2" t="inlineStr">
        <is>
          <t>SD</t>
        </is>
      </c>
      <c r="C2" t="inlineStr">
        <is>
          <t>DD National City</t>
        </is>
      </c>
      <c r="D2" t="inlineStr">
        <is>
          <t>2139 E. Plaza Blvd, National City, California</t>
        </is>
      </c>
      <c r="E2" t="inlineStr">
        <is>
          <t>new blender for vitamix / old one is cracked</t>
        </is>
      </c>
      <c r="F2" s="6" t="n">
        <v>46174</v>
      </c>
      <c r="G2" t="inlineStr">
        <is>
          <t>Michael Rivas</t>
        </is>
      </c>
      <c r="H2" t="inlineStr"/>
      <c r="I2" s="7" t="n">
        <v>0</v>
      </c>
      <c r="J2" s="7" t="n">
        <v>0</v>
      </c>
      <c r="K2" s="6" t="n"/>
      <c r="L2" t="inlineStr">
        <is>
          <t>Non-Urgent</t>
        </is>
      </c>
      <c r="M2" t="inlineStr">
        <is>
          <t>Fix</t>
        </is>
      </c>
      <c r="N2" t="inlineStr">
        <is>
          <t>Open</t>
        </is>
      </c>
      <c r="O2" t="inlineStr">
        <is>
          <t>Blender / Prep Equipment</t>
        </is>
      </c>
      <c r="P2">
        <f>IF($F2="","",TEXT($F2,"YYYY-MM"))</f>
        <v/>
      </c>
      <c r="Q2" t="inlineStr"/>
    </row>
    <row r="3">
      <c r="A3" t="inlineStr">
        <is>
          <t>3429710</t>
        </is>
      </c>
      <c r="B3" t="inlineStr">
        <is>
          <t>SD</t>
        </is>
      </c>
      <c r="C3" t="inlineStr">
        <is>
          <t>DD JJ Convoy</t>
        </is>
      </c>
      <c r="D3" t="inlineStr">
        <is>
          <t>4140 Convoy St, San Diego, CA</t>
        </is>
      </c>
      <c r="E3" t="inlineStr">
        <is>
          <t>HV dual brewer hot water leaking / hot water faucet fell off and the nozzle doesn't go in correctly due to improper fitting and forcing it prior to getting into the store</t>
        </is>
      </c>
      <c r="F3" s="6" t="n">
        <v>46173</v>
      </c>
      <c r="G3" t="inlineStr">
        <is>
          <t>Ivan Gonzalez</t>
        </is>
      </c>
      <c r="H3" t="inlineStr"/>
      <c r="I3" s="7" t="n">
        <v>0</v>
      </c>
      <c r="J3" s="7" t="n">
        <v>0</v>
      </c>
      <c r="K3" s="6" t="n"/>
      <c r="L3" t="inlineStr">
        <is>
          <t>Med</t>
        </is>
      </c>
      <c r="M3" t="inlineStr">
        <is>
          <t>Fix</t>
        </is>
      </c>
      <c r="N3" t="inlineStr">
        <is>
          <t>Open</t>
        </is>
      </c>
      <c r="O3" t="inlineStr">
        <is>
          <t>Coffee Machine</t>
        </is>
      </c>
      <c r="P3">
        <f>IF($F3="","",TEXT($F3,"YYYY-MM"))</f>
        <v/>
      </c>
      <c r="Q3" t="inlineStr"/>
    </row>
    <row r="4">
      <c r="A4" t="inlineStr">
        <is>
          <t>3429323</t>
        </is>
      </c>
      <c r="B4" t="inlineStr">
        <is>
          <t>SD</t>
        </is>
      </c>
      <c r="C4" t="inlineStr">
        <is>
          <t>DD JJ Montezuma</t>
        </is>
      </c>
      <c r="D4" t="inlineStr">
        <is>
          <t>5825 Montezuma Rd,  San Diego, CA</t>
        </is>
      </c>
      <c r="E4" t="inlineStr">
        <is>
          <t>JJ back cold table / JJ back cold table is at 57 degrees</t>
        </is>
      </c>
      <c r="F4" s="6" t="n">
        <v>46172</v>
      </c>
      <c r="G4" t="inlineStr">
        <is>
          <t>Junior Berumen</t>
        </is>
      </c>
      <c r="H4" t="inlineStr"/>
      <c r="I4" s="7" t="n">
        <v>0</v>
      </c>
      <c r="J4" s="7" t="n">
        <v>0</v>
      </c>
      <c r="K4" s="6" t="n"/>
      <c r="L4" t="inlineStr">
        <is>
          <t>High</t>
        </is>
      </c>
      <c r="M4" t="inlineStr">
        <is>
          <t>Fix</t>
        </is>
      </c>
      <c r="N4" t="inlineStr">
        <is>
          <t>Open</t>
        </is>
      </c>
      <c r="O4" t="inlineStr">
        <is>
          <t>Reach-in Freezer</t>
        </is>
      </c>
      <c r="P4">
        <f>IF($F4="","",TEXT($F4,"YYYY-MM"))</f>
        <v/>
      </c>
      <c r="Q4" t="inlineStr"/>
    </row>
    <row r="5">
      <c r="A5" t="inlineStr">
        <is>
          <t>3429195</t>
        </is>
      </c>
      <c r="B5" t="inlineStr">
        <is>
          <t>SD</t>
        </is>
      </c>
      <c r="C5" t="inlineStr">
        <is>
          <t>DD JJ Montezuma</t>
        </is>
      </c>
      <c r="D5" t="inlineStr">
        <is>
          <t>5825 Montezuma Rd,  San Diego, CA</t>
        </is>
      </c>
      <c r="E5" t="inlineStr">
        <is>
          <t>Staff bathroom locked / Staff bathroom lock is stuck, unable to get into bathroom</t>
        </is>
      </c>
      <c r="F5" s="6" t="n">
        <v>46172</v>
      </c>
      <c r="G5" t="inlineStr">
        <is>
          <t>Junior Berumen</t>
        </is>
      </c>
      <c r="H5" t="inlineStr"/>
      <c r="I5" s="7" t="n">
        <v>0</v>
      </c>
      <c r="J5" s="7" t="n">
        <v>0</v>
      </c>
      <c r="K5" s="6" t="n"/>
      <c r="L5" t="inlineStr">
        <is>
          <t>Med</t>
        </is>
      </c>
      <c r="M5" t="inlineStr">
        <is>
          <t>Fix</t>
        </is>
      </c>
      <c r="N5" t="inlineStr">
        <is>
          <t>Open</t>
        </is>
      </c>
      <c r="O5" t="inlineStr">
        <is>
          <t>Doors / Locks</t>
        </is>
      </c>
      <c r="P5">
        <f>IF($F5="","",TEXT($F5,"YYYY-MM"))</f>
        <v/>
      </c>
      <c r="Q5" t="inlineStr"/>
    </row>
    <row r="6">
      <c r="A6" t="inlineStr">
        <is>
          <t>3429193</t>
        </is>
      </c>
      <c r="B6" t="inlineStr">
        <is>
          <t>SD</t>
        </is>
      </c>
      <c r="C6" t="inlineStr">
        <is>
          <t>DD JJ Montezuma</t>
        </is>
      </c>
      <c r="D6" t="inlineStr">
        <is>
          <t>5825 Montezuma Rd,  San Diego, CA</t>
        </is>
      </c>
      <c r="E6" t="inlineStr">
        <is>
          <t>Toaster Element out / Left side of toaster has an error of ' bottom left element is out'</t>
        </is>
      </c>
      <c r="F6" s="6" t="n">
        <v>46172</v>
      </c>
      <c r="G6" t="inlineStr">
        <is>
          <t>Junior Berumen</t>
        </is>
      </c>
      <c r="H6" t="inlineStr"/>
      <c r="I6" s="7" t="n">
        <v>0</v>
      </c>
      <c r="J6" s="7" t="n">
        <v>0</v>
      </c>
      <c r="K6" s="6" t="n"/>
      <c r="L6" t="inlineStr">
        <is>
          <t>Med</t>
        </is>
      </c>
      <c r="M6" t="inlineStr">
        <is>
          <t>Fix</t>
        </is>
      </c>
      <c r="N6" t="inlineStr">
        <is>
          <t>Open</t>
        </is>
      </c>
      <c r="O6" t="inlineStr">
        <is>
          <t>Toaster</t>
        </is>
      </c>
      <c r="P6">
        <f>IF($F6="","",TEXT($F6,"YYYY-MM"))</f>
        <v/>
      </c>
      <c r="Q6" t="inlineStr"/>
    </row>
    <row r="7">
      <c r="A7" t="inlineStr">
        <is>
          <t>3428606</t>
        </is>
      </c>
      <c r="B7" t="inlineStr">
        <is>
          <t>SD</t>
        </is>
      </c>
      <c r="C7" t="inlineStr">
        <is>
          <t>DD Washington St</t>
        </is>
      </c>
      <c r="D7" t="inlineStr">
        <is>
          <t>409 Washington St, San Diego, CA</t>
        </is>
      </c>
      <c r="E7" t="inlineStr">
        <is>
          <t>Toilet paper dispenser / Our toilet dispenser needs to be replaced. Door fell off</t>
        </is>
      </c>
      <c r="F7" s="6" t="n">
        <v>46171</v>
      </c>
      <c r="G7" t="inlineStr">
        <is>
          <t>Catherine Corcoran</t>
        </is>
      </c>
      <c r="H7" t="inlineStr"/>
      <c r="I7" s="7" t="n">
        <v>0</v>
      </c>
      <c r="J7" s="7" t="n">
        <v>0</v>
      </c>
      <c r="K7" s="6" t="n">
        <v>46178</v>
      </c>
      <c r="L7" t="inlineStr">
        <is>
          <t>Low</t>
        </is>
      </c>
      <c r="M7" t="inlineStr">
        <is>
          <t>Fix</t>
        </is>
      </c>
      <c r="N7" t="inlineStr">
        <is>
          <t>Open</t>
        </is>
      </c>
      <c r="O7" t="inlineStr">
        <is>
          <t>Doors / Locks</t>
        </is>
      </c>
      <c r="P7">
        <f>IF($F7="","",TEXT($F7,"YYYY-MM"))</f>
        <v/>
      </c>
      <c r="Q7" t="inlineStr"/>
    </row>
    <row r="8">
      <c r="A8" t="inlineStr">
        <is>
          <t>3427494</t>
        </is>
      </c>
      <c r="B8" t="inlineStr">
        <is>
          <t>SD</t>
        </is>
      </c>
      <c r="C8" t="inlineStr">
        <is>
          <t>DD National City</t>
        </is>
      </c>
      <c r="D8" t="inlineStr">
        <is>
          <t>2139 E. Plaza Blvd, National City, California</t>
        </is>
      </c>
      <c r="E8" t="inlineStr">
        <is>
          <t>hand washing sink by donut case / The donut case by the hand washing sink is not tempting</t>
        </is>
      </c>
      <c r="F8" s="6" t="n">
        <v>46170</v>
      </c>
      <c r="G8" t="inlineStr">
        <is>
          <t>Michael Rivas</t>
        </is>
      </c>
      <c r="H8" t="inlineStr"/>
      <c r="I8" s="7" t="n">
        <v>0</v>
      </c>
      <c r="J8" s="7" t="n">
        <v>0</v>
      </c>
      <c r="K8" s="6" t="n"/>
      <c r="L8" t="inlineStr">
        <is>
          <t>Urgent</t>
        </is>
      </c>
      <c r="M8" t="inlineStr">
        <is>
          <t>Fix</t>
        </is>
      </c>
      <c r="N8" t="inlineStr">
        <is>
          <t>Open</t>
        </is>
      </c>
      <c r="O8" t="inlineStr">
        <is>
          <t>Plumbing / Restroom</t>
        </is>
      </c>
      <c r="P8">
        <f>IF($F8="","",TEXT($F8,"YYYY-MM"))</f>
        <v/>
      </c>
      <c r="Q8" t="inlineStr"/>
    </row>
    <row r="9">
      <c r="A9" t="inlineStr">
        <is>
          <t>3427303</t>
        </is>
      </c>
      <c r="B9" t="inlineStr">
        <is>
          <t>SD</t>
        </is>
      </c>
      <c r="C9" t="inlineStr">
        <is>
          <t>DD Miramar Flightline</t>
        </is>
      </c>
      <c r="D9" t="inlineStr">
        <is>
          <t>8635 Obregon Ave., Bldg 8675, MCAS Miramar, San Diego, California</t>
        </is>
      </c>
      <c r="E9" t="inlineStr">
        <is>
          <t>bottom oven is smelling off / the smell is like burnt plastic and or over heating it gets extremely hot on cooling setting</t>
        </is>
      </c>
      <c r="F9" s="6" t="n">
        <v>46170</v>
      </c>
      <c r="G9" t="inlineStr">
        <is>
          <t>Jackie Gomez</t>
        </is>
      </c>
      <c r="H9" t="inlineStr"/>
      <c r="I9" s="7" t="n">
        <v>0</v>
      </c>
      <c r="J9" s="7" t="n">
        <v>0</v>
      </c>
      <c r="K9" s="6" t="n"/>
      <c r="L9" t="inlineStr">
        <is>
          <t>High</t>
        </is>
      </c>
      <c r="M9" t="inlineStr">
        <is>
          <t>Fix</t>
        </is>
      </c>
      <c r="N9" t="inlineStr">
        <is>
          <t>Open</t>
        </is>
      </c>
      <c r="O9" t="inlineStr">
        <is>
          <t>Range / Oven</t>
        </is>
      </c>
      <c r="P9">
        <f>IF($F9="","",TEXT($F9,"YYYY-MM"))</f>
        <v/>
      </c>
      <c r="Q9" t="inlineStr"/>
    </row>
    <row r="10">
      <c r="A10" t="inlineStr">
        <is>
          <t>3426960</t>
        </is>
      </c>
      <c r="B10" t="inlineStr">
        <is>
          <t>SD</t>
        </is>
      </c>
      <c r="C10" t="inlineStr">
        <is>
          <t>DD JJ Convoy</t>
        </is>
      </c>
      <c r="D10" t="inlineStr">
        <is>
          <t>4140 Convoy St, San Diego, CA</t>
        </is>
      </c>
      <c r="E10" t="inlineStr">
        <is>
          <t>restroom door locks / received restroom door locks, now just need to be switched out</t>
        </is>
      </c>
      <c r="F10" s="6" t="n">
        <v>46169</v>
      </c>
      <c r="G10" t="inlineStr">
        <is>
          <t>Ivan Gonzalez</t>
        </is>
      </c>
      <c r="H10" t="inlineStr"/>
      <c r="I10" s="7" t="n">
        <v>0</v>
      </c>
      <c r="J10" s="7" t="n">
        <v>0</v>
      </c>
      <c r="K10" s="6" t="n"/>
      <c r="L10" t="inlineStr">
        <is>
          <t>Low</t>
        </is>
      </c>
      <c r="M10" t="inlineStr">
        <is>
          <t>Fix</t>
        </is>
      </c>
      <c r="N10" t="inlineStr">
        <is>
          <t>Open</t>
        </is>
      </c>
      <c r="O10" t="inlineStr">
        <is>
          <t>Doors / Locks</t>
        </is>
      </c>
      <c r="P10">
        <f>IF($F10="","",TEXT($F10,"YYYY-MM"))</f>
        <v/>
      </c>
      <c r="Q10" t="inlineStr"/>
    </row>
  </sheetData>
  <dataValidations count="5">
    <dataValidation sqref="C2:C5000" showDropDown="0" showInputMessage="0" showErrorMessage="0" allowBlank="1" type="list">
      <formula1>=StoreList</formula1>
    </dataValidation>
    <dataValidation sqref="O2:O5000" showDropDown="0" showInputMessage="0" showErrorMessage="0" allowBlank="1" type="list">
      <formula1>=EquipList</formula1>
    </dataValidation>
    <dataValidation sqref="L2:L5000" showDropDown="0" showInputMessage="0" showErrorMessage="0" allowBlank="1" type="list">
      <formula1>"Urgent,High,Med,Low,Non-Urgent"</formula1>
    </dataValidation>
    <dataValidation sqref="M2:M5000" showDropDown="0" showInputMessage="0" showErrorMessage="0" allowBlank="1" type="list">
      <formula1>"Fix,PM,Install,Inspection,Replacement"</formula1>
    </dataValidation>
    <dataValidation sqref="N2:N5000" showDropDown="0" showInputMessage="0" showErrorMessage="0" allowBlank="1" type="list">
      <formula1>"Open,Pending,Closed"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4" customWidth="1" min="4" max="4"/>
    <col width="11" customWidth="1" min="5" max="5"/>
    <col width="18" customWidth="1" min="6" max="6"/>
    <col width="14" customWidth="1" min="7" max="7"/>
    <col width="40" customWidth="1" min="8" max="8"/>
    <col width="11" customWidth="1" min="9" max="9"/>
    <col width="30" customWidth="1" min="10" max="10"/>
    <col width="13" customWidth="1" min="11" max="11"/>
    <col width="22" customWidth="1" min="12" max="12"/>
  </cols>
  <sheetData>
    <row r="1">
      <c r="A1" s="8" t="inlineStr">
        <is>
          <t>Invoice Date</t>
        </is>
      </c>
      <c r="B1" s="8" t="inlineStr">
        <is>
          <t>Month</t>
        </is>
      </c>
      <c r="C1" s="8" t="inlineStr">
        <is>
          <t>Store</t>
        </is>
      </c>
      <c r="D1" s="8" t="inlineStr">
        <is>
          <t>Equipment Type</t>
        </is>
      </c>
      <c r="E1" s="8" t="inlineStr">
        <is>
          <t>Cost ($)</t>
        </is>
      </c>
      <c r="F1" s="8" t="inlineStr">
        <is>
          <t>Vendor</t>
        </is>
      </c>
      <c r="G1" s="8" t="inlineStr">
        <is>
          <t>Invoice #</t>
        </is>
      </c>
      <c r="H1" s="8" t="inlineStr">
        <is>
          <t>Description</t>
        </is>
      </c>
      <c r="I1" s="8" t="inlineStr">
        <is>
          <t>Status</t>
        </is>
      </c>
      <c r="J1" s="8" t="inlineStr">
        <is>
          <t>Source (email)</t>
        </is>
      </c>
      <c r="K1" s="8" t="inlineStr">
        <is>
          <t>Date Captured</t>
        </is>
      </c>
      <c r="L1" s="8" t="inlineStr">
        <is>
          <t>Notes</t>
        </is>
      </c>
    </row>
    <row r="2">
      <c r="A2" s="6" t="n"/>
      <c r="B2">
        <f>IF($A2="","",TEXT($A2,"YYYY-MM"))</f>
        <v/>
      </c>
      <c r="E2" s="7" t="n"/>
      <c r="K2" s="6" t="n"/>
    </row>
  </sheetData>
  <dataValidations count="3">
    <dataValidation sqref="C2:C5000" showDropDown="0" showInputMessage="0" showErrorMessage="0" allowBlank="1" type="list">
      <formula1>=StoreList</formula1>
    </dataValidation>
    <dataValidation sqref="D2:D5000" showDropDown="0" showInputMessage="0" showErrorMessage="0" allowBlank="1" type="list">
      <formula1>=EquipList</formula1>
    </dataValidation>
    <dataValidation sqref="I2:I5000" showDropDown="0" showInputMessage="0" showErrorMessage="0" allowBlank="1" type="list">
      <formula1>"Pending,Approved,Paid,Disputed"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6" customWidth="1" min="3" max="3"/>
  </cols>
  <sheetData>
    <row r="1">
      <c r="A1" s="5" t="inlineStr">
        <is>
          <t>Store</t>
        </is>
      </c>
      <c r="B1" s="5" t="inlineStr">
        <is>
          <t>Region</t>
        </is>
      </c>
      <c r="C1" s="5" t="inlineStr">
        <is>
          <t>Address</t>
        </is>
      </c>
    </row>
    <row r="2">
      <c r="A2" t="inlineStr">
        <is>
          <t>DD National City</t>
        </is>
      </c>
      <c r="B2" t="inlineStr">
        <is>
          <t>SD</t>
        </is>
      </c>
      <c r="C2" t="inlineStr">
        <is>
          <t>2139 E. Plaza Blvd, National City, California</t>
        </is>
      </c>
    </row>
    <row r="3">
      <c r="A3" t="inlineStr">
        <is>
          <t>DD JJ Convoy</t>
        </is>
      </c>
      <c r="B3" t="inlineStr">
        <is>
          <t>SD</t>
        </is>
      </c>
      <c r="C3" t="inlineStr">
        <is>
          <t>4140 Convoy St, San Diego, CA</t>
        </is>
      </c>
    </row>
    <row r="4">
      <c r="A4" t="inlineStr">
        <is>
          <t>DD JJ Montezuma</t>
        </is>
      </c>
      <c r="B4" t="inlineStr">
        <is>
          <t>SD</t>
        </is>
      </c>
      <c r="C4" t="inlineStr">
        <is>
          <t>5825 Montezuma Rd,  San Diego, CA</t>
        </is>
      </c>
    </row>
    <row r="5">
      <c r="A5" t="inlineStr">
        <is>
          <t>DD Washington St</t>
        </is>
      </c>
      <c r="B5" t="inlineStr">
        <is>
          <t>SD</t>
        </is>
      </c>
      <c r="C5" t="inlineStr">
        <is>
          <t>409 Washington St, San Diego, CA</t>
        </is>
      </c>
    </row>
    <row r="6">
      <c r="A6" t="inlineStr">
        <is>
          <t>DD Miramar Flightline</t>
        </is>
      </c>
      <c r="B6" t="inlineStr">
        <is>
          <t>SD</t>
        </is>
      </c>
      <c r="C6" t="inlineStr">
        <is>
          <t>8635 Obregon Ave., Bldg 8675, MCAS Miramar, San Diego, California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Equipment Type</t>
        </is>
      </c>
      <c r="B1" s="5" t="inlineStr">
        <is>
          <t>Class</t>
        </is>
      </c>
    </row>
    <row r="2">
      <c r="A2" t="inlineStr">
        <is>
          <t>Fryer</t>
        </is>
      </c>
      <c r="B2" t="inlineStr">
        <is>
          <t>Cooking</t>
        </is>
      </c>
    </row>
    <row r="3">
      <c r="A3" t="inlineStr">
        <is>
          <t>Range / Oven</t>
        </is>
      </c>
      <c r="B3" t="inlineStr">
        <is>
          <t>Cooking</t>
        </is>
      </c>
    </row>
    <row r="4">
      <c r="A4" t="inlineStr">
        <is>
          <t>Grill / Griddle</t>
        </is>
      </c>
      <c r="B4" t="inlineStr">
        <is>
          <t>Cooking</t>
        </is>
      </c>
    </row>
    <row r="5">
      <c r="A5" t="inlineStr">
        <is>
          <t>Hood / Exhaust Fan</t>
        </is>
      </c>
      <c r="B5" t="inlineStr">
        <is>
          <t>HVAC</t>
        </is>
      </c>
    </row>
    <row r="6">
      <c r="A6" t="inlineStr">
        <is>
          <t>Walk-in Cooler</t>
        </is>
      </c>
      <c r="B6" t="inlineStr">
        <is>
          <t>Refrigeration</t>
        </is>
      </c>
    </row>
    <row r="7">
      <c r="A7" t="inlineStr">
        <is>
          <t>Reach-in Freezer</t>
        </is>
      </c>
      <c r="B7" t="inlineStr">
        <is>
          <t>Refrigeration</t>
        </is>
      </c>
    </row>
    <row r="8">
      <c r="A8" t="inlineStr">
        <is>
          <t>Ice Machine</t>
        </is>
      </c>
      <c r="B8" t="inlineStr">
        <is>
          <t>Refrigeration</t>
        </is>
      </c>
    </row>
    <row r="9">
      <c r="A9" t="inlineStr">
        <is>
          <t>Soda / Beverage Fountain</t>
        </is>
      </c>
      <c r="B9" t="inlineStr">
        <is>
          <t>Beverage</t>
        </is>
      </c>
    </row>
    <row r="10">
      <c r="A10" t="inlineStr">
        <is>
          <t>Coffee Machine</t>
        </is>
      </c>
      <c r="B10" t="inlineStr">
        <is>
          <t>Beverage</t>
        </is>
      </c>
    </row>
    <row r="11">
      <c r="A11" t="inlineStr">
        <is>
          <t>Blender / Prep Equipment</t>
        </is>
      </c>
      <c r="B11" t="inlineStr">
        <is>
          <t>Prep</t>
        </is>
      </c>
    </row>
    <row r="12">
      <c r="A12" t="inlineStr">
        <is>
          <t>Toaster</t>
        </is>
      </c>
      <c r="B12" t="inlineStr">
        <is>
          <t>Cooking</t>
        </is>
      </c>
    </row>
    <row r="13">
      <c r="A13" t="inlineStr">
        <is>
          <t>Dishwasher</t>
        </is>
      </c>
      <c r="B13" t="inlineStr">
        <is>
          <t>Warewashing</t>
        </is>
      </c>
    </row>
    <row r="14">
      <c r="A14" t="inlineStr">
        <is>
          <t>Grease Trap</t>
        </is>
      </c>
      <c r="B14" t="inlineStr">
        <is>
          <t>Plumbing</t>
        </is>
      </c>
    </row>
    <row r="15">
      <c r="A15" t="inlineStr">
        <is>
          <t>Water Heater</t>
        </is>
      </c>
      <c r="B15" t="inlineStr">
        <is>
          <t>Plumbing</t>
        </is>
      </c>
    </row>
    <row r="16">
      <c r="A16" t="inlineStr">
        <is>
          <t>Rooftop HVAC Unit</t>
        </is>
      </c>
      <c r="B16" t="inlineStr">
        <is>
          <t>HVAC</t>
        </is>
      </c>
    </row>
    <row r="17">
      <c r="A17" t="inlineStr">
        <is>
          <t>Mini-split AC</t>
        </is>
      </c>
      <c r="B17" t="inlineStr">
        <is>
          <t>HVAC</t>
        </is>
      </c>
    </row>
    <row r="18">
      <c r="A18" t="inlineStr">
        <is>
          <t>POS Terminal</t>
        </is>
      </c>
      <c r="B18" t="inlineStr">
        <is>
          <t>POS / IT</t>
        </is>
      </c>
    </row>
    <row r="19">
      <c r="A19" t="inlineStr">
        <is>
          <t>Receipt Printer</t>
        </is>
      </c>
      <c r="B19" t="inlineStr">
        <is>
          <t>POS / IT</t>
        </is>
      </c>
    </row>
    <row r="20">
      <c r="A20" t="inlineStr">
        <is>
          <t>Security / CCTV</t>
        </is>
      </c>
      <c r="B20" t="inlineStr">
        <is>
          <t>POS / IT</t>
        </is>
      </c>
    </row>
    <row r="21">
      <c r="A21" t="inlineStr">
        <is>
          <t>Lighting / Electrical</t>
        </is>
      </c>
      <c r="B21" t="inlineStr">
        <is>
          <t>Electrical</t>
        </is>
      </c>
    </row>
    <row r="22">
      <c r="A22" t="inlineStr">
        <is>
          <t>Plumbing / Restroom</t>
        </is>
      </c>
      <c r="B22" t="inlineStr">
        <is>
          <t>Plumbing</t>
        </is>
      </c>
    </row>
    <row r="23">
      <c r="A23" t="inlineStr">
        <is>
          <t>Doors / Locks</t>
        </is>
      </c>
      <c r="B23" t="inlineStr">
        <is>
          <t>Building</t>
        </is>
      </c>
    </row>
    <row r="24">
      <c r="A24" t="inlineStr">
        <is>
          <t>Review</t>
        </is>
      </c>
      <c r="B24" t="inlineStr">
        <is>
          <t>— set me</t>
        </is>
      </c>
    </row>
    <row r="25">
      <c r="A25" t="inlineStr">
        <is>
          <t>Other</t>
        </is>
      </c>
      <c r="B25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24" customWidth="1" min="5" max="5"/>
    <col width="13" customWidth="1" min="6" max="6"/>
    <col width="13" customWidth="1" min="7" max="7"/>
  </cols>
  <sheetData>
    <row r="1">
      <c r="A1" s="1" t="inlineStr">
        <is>
          <t>Trends</t>
        </is>
      </c>
    </row>
    <row r="2">
      <c r="A2" s="2" t="inlineStr">
        <is>
          <t>Task counts come from Owl Ops; $ comes from invoices (fills in as the robot runs).</t>
        </is>
      </c>
    </row>
    <row r="4">
      <c r="A4" s="4" t="inlineStr">
        <is>
          <t>By Store</t>
        </is>
      </c>
      <c r="E4" s="4" t="inlineStr">
        <is>
          <t>By Equipment Type</t>
        </is>
      </c>
    </row>
    <row r="5">
      <c r="A5" s="9" t="inlineStr">
        <is>
          <t>Store</t>
        </is>
      </c>
      <c r="B5" s="9" t="inlineStr">
        <is>
          <t># Open Tasks</t>
        </is>
      </c>
      <c r="C5" s="9" t="inlineStr">
        <is>
          <t>Invoice Cost ($)</t>
        </is>
      </c>
      <c r="E5" s="9" t="inlineStr">
        <is>
          <t>Equipment</t>
        </is>
      </c>
      <c r="F5" s="9" t="inlineStr">
        <is>
          <t># Tasks</t>
        </is>
      </c>
      <c r="G5" s="9" t="inlineStr">
        <is>
          <t>Invoice Cost ($)</t>
        </is>
      </c>
    </row>
    <row r="6">
      <c r="A6" t="inlineStr">
        <is>
          <t>DD National City</t>
        </is>
      </c>
      <c r="B6">
        <f>COUNTIF(Tasks!$C$2:$C$5000,$A6)</f>
        <v/>
      </c>
      <c r="C6" s="7">
        <f>SUMIFS(Invoices!$E$2:$E$5000,Invoices!$C$2:$C$5000,$A6)</f>
        <v/>
      </c>
      <c r="E6" t="inlineStr">
        <is>
          <t>Blender / Prep Equipment</t>
        </is>
      </c>
      <c r="F6">
        <f>COUNTIF(Tasks!$O$2:$O$5000,$E6)</f>
        <v/>
      </c>
      <c r="G6" s="7">
        <f>SUMIFS(Invoices!$E$2:$E$5000,Invoices!$D$2:$D$5000,$E6)</f>
        <v/>
      </c>
    </row>
    <row r="7">
      <c r="A7" t="inlineStr">
        <is>
          <t>DD JJ Convoy</t>
        </is>
      </c>
      <c r="B7">
        <f>COUNTIF(Tasks!$C$2:$C$5000,$A7)</f>
        <v/>
      </c>
      <c r="C7" s="7">
        <f>SUMIFS(Invoices!$E$2:$E$5000,Invoices!$C$2:$C$5000,$A7)</f>
        <v/>
      </c>
      <c r="E7" t="inlineStr">
        <is>
          <t>Coffee Machine</t>
        </is>
      </c>
      <c r="F7">
        <f>COUNTIF(Tasks!$O$2:$O$5000,$E7)</f>
        <v/>
      </c>
      <c r="G7" s="7">
        <f>SUMIFS(Invoices!$E$2:$E$5000,Invoices!$D$2:$D$5000,$E7)</f>
        <v/>
      </c>
    </row>
    <row r="8">
      <c r="A8" t="inlineStr">
        <is>
          <t>DD JJ Montezuma</t>
        </is>
      </c>
      <c r="B8">
        <f>COUNTIF(Tasks!$C$2:$C$5000,$A8)</f>
        <v/>
      </c>
      <c r="C8" s="7">
        <f>SUMIFS(Invoices!$E$2:$E$5000,Invoices!$C$2:$C$5000,$A8)</f>
        <v/>
      </c>
      <c r="E8" t="inlineStr">
        <is>
          <t>Doors / Locks</t>
        </is>
      </c>
      <c r="F8">
        <f>COUNTIF(Tasks!$O$2:$O$5000,$E8)</f>
        <v/>
      </c>
      <c r="G8" s="7">
        <f>SUMIFS(Invoices!$E$2:$E$5000,Invoices!$D$2:$D$5000,$E8)</f>
        <v/>
      </c>
    </row>
    <row r="9">
      <c r="A9" t="inlineStr">
        <is>
          <t>DD Washington St</t>
        </is>
      </c>
      <c r="B9">
        <f>COUNTIF(Tasks!$C$2:$C$5000,$A9)</f>
        <v/>
      </c>
      <c r="C9" s="7">
        <f>SUMIFS(Invoices!$E$2:$E$5000,Invoices!$C$2:$C$5000,$A9)</f>
        <v/>
      </c>
      <c r="E9" t="inlineStr">
        <is>
          <t>Plumbing / Restroom</t>
        </is>
      </c>
      <c r="F9">
        <f>COUNTIF(Tasks!$O$2:$O$5000,$E9)</f>
        <v/>
      </c>
      <c r="G9" s="7">
        <f>SUMIFS(Invoices!$E$2:$E$5000,Invoices!$D$2:$D$5000,$E9)</f>
        <v/>
      </c>
    </row>
    <row r="10">
      <c r="A10" t="inlineStr">
        <is>
          <t>DD Miramar Flightline</t>
        </is>
      </c>
      <c r="B10">
        <f>COUNTIF(Tasks!$C$2:$C$5000,$A10)</f>
        <v/>
      </c>
      <c r="C10" s="7">
        <f>SUMIFS(Invoices!$E$2:$E$5000,Invoices!$C$2:$C$5000,$A10)</f>
        <v/>
      </c>
      <c r="E10" t="inlineStr">
        <is>
          <t>Range / Oven</t>
        </is>
      </c>
      <c r="F10">
        <f>COUNTIF(Tasks!$O$2:$O$5000,$E10)</f>
        <v/>
      </c>
      <c r="G10" s="7">
        <f>SUMIFS(Invoices!$E$2:$E$5000,Invoices!$D$2:$D$5000,$E10)</f>
        <v/>
      </c>
    </row>
    <row r="11">
      <c r="E11" t="inlineStr">
        <is>
          <t>Reach-in Freezer</t>
        </is>
      </c>
      <c r="F11">
        <f>COUNTIF(Tasks!$O$2:$O$5000,$E11)</f>
        <v/>
      </c>
      <c r="G11" s="7">
        <f>SUMIFS(Invoices!$E$2:$E$5000,Invoices!$D$2:$D$5000,$E11)</f>
        <v/>
      </c>
    </row>
    <row r="12">
      <c r="A12" s="4" t="inlineStr">
        <is>
          <t>Invoice Cost by Month</t>
        </is>
      </c>
      <c r="E12" t="inlineStr">
        <is>
          <t>Toaster</t>
        </is>
      </c>
      <c r="F12">
        <f>COUNTIF(Tasks!$O$2:$O$5000,$E12)</f>
        <v/>
      </c>
      <c r="G12" s="7">
        <f>SUMIFS(Invoices!$E$2:$E$5000,Invoices!$D$2:$D$5000,$E12)</f>
        <v/>
      </c>
    </row>
    <row r="13">
      <c r="A13" s="9" t="inlineStr">
        <is>
          <t>Month</t>
        </is>
      </c>
      <c r="B13" s="9" t="inlineStr">
        <is>
          <t>Cost ($)</t>
        </is>
      </c>
    </row>
    <row r="14">
      <c r="A14" t="inlineStr">
        <is>
          <t>2025-07</t>
        </is>
      </c>
      <c r="B14" s="7">
        <f>SUMIFS(Invoices!$E$2:$E$5000,Invoices!$B$2:$B$5000,$A14)</f>
        <v/>
      </c>
    </row>
    <row r="15">
      <c r="A15" t="inlineStr">
        <is>
          <t>2025-08</t>
        </is>
      </c>
      <c r="B15" s="7">
        <f>SUMIFS(Invoices!$E$2:$E$5000,Invoices!$B$2:$B$5000,$A15)</f>
        <v/>
      </c>
    </row>
    <row r="16">
      <c r="A16" t="inlineStr">
        <is>
          <t>2025-09</t>
        </is>
      </c>
      <c r="B16" s="7">
        <f>SUMIFS(Invoices!$E$2:$E$5000,Invoices!$B$2:$B$5000,$A16)</f>
        <v/>
      </c>
    </row>
    <row r="17">
      <c r="A17" t="inlineStr">
        <is>
          <t>2025-10</t>
        </is>
      </c>
      <c r="B17" s="7">
        <f>SUMIFS(Invoices!$E$2:$E$5000,Invoices!$B$2:$B$5000,$A17)</f>
        <v/>
      </c>
    </row>
    <row r="18">
      <c r="A18" t="inlineStr">
        <is>
          <t>2025-11</t>
        </is>
      </c>
      <c r="B18" s="7">
        <f>SUMIFS(Invoices!$E$2:$E$5000,Invoices!$B$2:$B$5000,$A18)</f>
        <v/>
      </c>
    </row>
    <row r="19">
      <c r="A19" t="inlineStr">
        <is>
          <t>2025-12</t>
        </is>
      </c>
      <c r="B19" s="7">
        <f>SUMIFS(Invoices!$E$2:$E$5000,Invoices!$B$2:$B$5000,$A19)</f>
        <v/>
      </c>
    </row>
    <row r="20">
      <c r="A20" t="inlineStr">
        <is>
          <t>2026-01</t>
        </is>
      </c>
      <c r="B20" s="7">
        <f>SUMIFS(Invoices!$E$2:$E$5000,Invoices!$B$2:$B$5000,$A20)</f>
        <v/>
      </c>
    </row>
    <row r="21">
      <c r="A21" t="inlineStr">
        <is>
          <t>2026-02</t>
        </is>
      </c>
      <c r="B21" s="7">
        <f>SUMIFS(Invoices!$E$2:$E$5000,Invoices!$B$2:$B$5000,$A21)</f>
        <v/>
      </c>
    </row>
    <row r="22">
      <c r="A22" t="inlineStr">
        <is>
          <t>2026-03</t>
        </is>
      </c>
      <c r="B22" s="7">
        <f>SUMIFS(Invoices!$E$2:$E$5000,Invoices!$B$2:$B$5000,$A22)</f>
        <v/>
      </c>
    </row>
    <row r="23">
      <c r="A23" t="inlineStr">
        <is>
          <t>2026-04</t>
        </is>
      </c>
      <c r="B23" s="7">
        <f>SUMIFS(Invoices!$E$2:$E$5000,Invoices!$B$2:$B$5000,$A23)</f>
        <v/>
      </c>
    </row>
    <row r="24">
      <c r="A24" t="inlineStr">
        <is>
          <t>2026-05</t>
        </is>
      </c>
      <c r="B24" s="7">
        <f>SUMIFS(Invoices!$E$2:$E$5000,Invoices!$B$2:$B$5000,$A24)</f>
        <v/>
      </c>
    </row>
    <row r="25">
      <c r="A25" t="inlineStr">
        <is>
          <t>2026-06</t>
        </is>
      </c>
      <c r="B25" s="7">
        <f>SUMIFS(Invoices!$E$2:$E$5000,Invoices!$B$2:$B$5000,$A25)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2026-06-01T22:33:40Z</dcterms:created>
  <dcterms:modified xsi:type="dcterms:W3CDTF">2026-06-01T22:33:40Z</dcterms:modified>
</cp:coreProperties>
</file>