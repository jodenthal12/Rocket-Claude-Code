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voices" sheetId="2" state="visible" r:id="rId2"/>
    <sheet name="Stores" sheetId="3" state="visible" r:id="rId3"/>
    <sheet name="Equipment Types" sheetId="4" state="visible" r:id="rId4"/>
    <sheet name="Vendors" sheetId="5" state="visible" r:id="rId5"/>
    <sheet name="Trends" sheetId="6" state="visible" r:id="rId6"/>
  </sheets>
  <definedNames>
    <definedName name="StoreList">Stores!$B$2:$B$500</definedName>
    <definedName name="EquipList">'Equipment Types'!$A$2:$A$500</definedName>
    <definedName name="VendorList">Vendors!$A$2:$A$500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color rgb="001F3864"/>
      <sz val="16"/>
    </font>
    <font>
      <i val="1"/>
      <color rgb="00808080"/>
      <sz val="10"/>
    </font>
    <font>
      <color rgb="00222222"/>
      <sz val="11"/>
    </font>
    <font>
      <b val="1"/>
      <color rgb="001F3864"/>
      <sz val="12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E549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4" fontId="0" fillId="0" borderId="0" pivotButton="0" quotePrefix="0" xfId="0"/>
    <xf numFmtId="0" fontId="5" fillId="2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by Store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'Trends'!B5</f>
            </strRef>
          </tx>
          <spPr>
            <a:ln>
              <a:prstDash val="solid"/>
            </a:ln>
          </spPr>
          <cat>
            <numRef>
              <f>'Trends'!$A$6:$A$10</f>
            </numRef>
          </cat>
          <val>
            <numRef>
              <f>'Trends'!$B$6:$B$10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by Equipment Type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'Trends'!E5</f>
            </strRef>
          </tx>
          <spPr>
            <a:ln>
              <a:prstDash val="solid"/>
            </a:ln>
          </spPr>
          <cat>
            <numRef>
              <f>'Trends'!$D$6:$D$23</f>
            </numRef>
          </cat>
          <val>
            <numRef>
              <f>'Trends'!$E$6:$E$23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'Trends'!E26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'Trends'!$D$27:$D$38</f>
            </numRef>
          </cat>
          <val>
            <numRef>
              <f>'Trends'!$E$27:$E$38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by Category</a:t>
            </a:r>
          </a:p>
        </rich>
      </tx>
    </title>
    <plotArea>
      <pieChart>
        <varyColors val="1"/>
        <ser>
          <idx val="0"/>
          <order val="0"/>
          <tx>
            <strRef>
              <f>'Trends'!B13</f>
            </strRef>
          </tx>
          <spPr>
            <a:ln>
              <a:prstDash val="solid"/>
            </a:ln>
          </spPr>
          <cat>
            <numRef>
              <f>'Trends'!$A$14:$A$19</f>
            </numRef>
          </cat>
          <val>
            <numRef>
              <f>'Trends'!$B$14:$B$19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46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3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19</row>
      <rowOff>0</rowOff>
    </from>
    <ext cx="39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Invoices" displayName="tblInvoices" ref="A1:S9" headerRowCount="1">
  <autoFilter ref="A1:S9"/>
  <tableColumns count="19">
    <tableColumn id="1" name="Invoice Date"/>
    <tableColumn id="2" name="Week Of (Mon)"/>
    <tableColumn id="3" name="Month"/>
    <tableColumn id="4" name="Store"/>
    <tableColumn id="5" name="Equipment Type"/>
    <tableColumn id="6" name="Category"/>
    <tableColumn id="7" name="Line Total ($)"/>
    <tableColumn id="8" name="Vendor"/>
    <tableColumn id="9" name="Invoice #"/>
    <tableColumn id="10" name="Description"/>
    <tableColumn id="11" name="Qty"/>
    <tableColumn id="12" name="Unit Price ($)"/>
    <tableColumn id="13" name="Tax ($)"/>
    <tableColumn id="14" name="Status"/>
    <tableColumn id="15" name="Asset / Unit ID"/>
    <tableColumn id="16" name="PO #"/>
    <tableColumn id="17" name="Invoice File"/>
    <tableColumn id="18" name="Date Captured"/>
    <tableColumn id="1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tores" displayName="tblStores" ref="A1:E6" headerRowCount="1">
  <autoFilter ref="A1:E6"/>
  <tableColumns count="5">
    <tableColumn id="1" name="Store ID"/>
    <tableColumn id="2" name="Store Name"/>
    <tableColumn id="3" name="Region"/>
    <tableColumn id="4" name="City / State"/>
    <tableColumn id="5" name="Manager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id="3" name="tblEquipmentTypes" displayName="tblEquipmentTypes" ref="A1:D19" headerRowCount="1">
  <autoFilter ref="A1:D19"/>
  <tableColumns count="4">
    <tableColumn id="1" name="Equipment Type"/>
    <tableColumn id="2" name="Equipment Class"/>
    <tableColumn id="3" name="Typical Useful Life (yrs)"/>
    <tableColumn id="4" name="Notes"/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blVendors" displayName="tblVendors" ref="A1:D7" headerRowCount="1">
  <autoFilter ref="A1:D7"/>
  <tableColumns count="4">
    <tableColumn id="1" name="Vendor Name"/>
    <tableColumn id="2" name="Trade / Specialty"/>
    <tableColumn id="3" name="Contact"/>
    <tableColumn id="4" name="Phone / Email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1">
      <c r="B1" s="1" t="inlineStr">
        <is>
          <t>Equipment Invoice Tracker  —  Owl Ops-style</t>
        </is>
      </c>
    </row>
    <row r="2">
      <c r="B2" s="2" t="inlineStr">
        <is>
          <t>Capture every invoice by Store, Equipment Type, and Cost — then trend it.</t>
        </is>
      </c>
    </row>
    <row r="3">
      <c r="B3" s="3" t="inlineStr"/>
    </row>
    <row r="4">
      <c r="B4" s="4" t="inlineStr">
        <is>
          <t>HOW THIS WORKBOOK IS ORGANIZED</t>
        </is>
      </c>
    </row>
    <row r="5">
      <c r="B5" s="3" t="inlineStr">
        <is>
          <t>• Invoices       → the master log. ONE ROW PER LINE ITEM (per piece of equipment on an invoice).</t>
        </is>
      </c>
    </row>
    <row r="6">
      <c r="B6" s="3" t="inlineStr">
        <is>
          <t xml:space="preserve">                    This is the only sheet that grows. Everything else feeds or reads it.</t>
        </is>
      </c>
    </row>
    <row r="7">
      <c r="B7" s="3" t="inlineStr">
        <is>
          <t>• Stores         → your list of locations (drives the Store drop-down + trends).</t>
        </is>
      </c>
    </row>
    <row r="8">
      <c r="B8" s="3" t="inlineStr">
        <is>
          <t>• Equipment Types→ your equipment catalog grouped by class (drives the Equipment drop-down).</t>
        </is>
      </c>
    </row>
    <row r="9">
      <c r="B9" s="3" t="inlineStr">
        <is>
          <t>• Vendors        → your service providers (drives the Vendor drop-down).</t>
        </is>
      </c>
    </row>
    <row r="10">
      <c r="B10" s="3" t="inlineStr">
        <is>
          <t>• Trends         → live charts: cost by store, by equipment type, by category, and month-over-month.</t>
        </is>
      </c>
    </row>
    <row r="11">
      <c r="B11" s="3" t="inlineStr"/>
    </row>
    <row r="12">
      <c r="B12" s="4" t="inlineStr">
        <is>
          <t>THE 4-LAYER SOLUTION (mirrors the Owl Ops portal)</t>
        </is>
      </c>
    </row>
    <row r="13">
      <c r="B13" s="3" t="inlineStr">
        <is>
          <t>1. SOURCE    — invoices arrive in Outlook (PDF/photo attachments) or a OneDrive folder.</t>
        </is>
      </c>
    </row>
    <row r="14">
      <c r="B14" s="3" t="inlineStr">
        <is>
          <t>2. CAPTURE   — fields are pulled from each invoice (manually now, automatically later).</t>
        </is>
      </c>
    </row>
    <row r="15">
      <c r="B15" s="3" t="inlineStr">
        <is>
          <t>3. TEMPLATE  — this workbook: one normalized line-item table + clean reference lists.</t>
        </is>
      </c>
    </row>
    <row r="16">
      <c r="B16" s="3" t="inlineStr">
        <is>
          <t>4. ANALYSIS  — the Trends sheet + PivotTables slice cost by store / equipment / time.</t>
        </is>
      </c>
    </row>
    <row r="17">
      <c r="B17" s="3" t="inlineStr"/>
    </row>
    <row r="18">
      <c r="B18" s="4" t="inlineStr">
        <is>
          <t>WEEKLY WORKFLOW — START HERE (manual, works today)</t>
        </is>
      </c>
    </row>
    <row r="19">
      <c r="B19" s="3" t="inlineStr">
        <is>
          <t>1. Open this file in Excel for the web (save it to OneDrive / SharePoint first).</t>
        </is>
      </c>
    </row>
    <row r="20">
      <c r="B20" s="3" t="inlineStr">
        <is>
          <t>2. Edit the Stores, Equipment Types, and Vendors sheets to match your business.</t>
        </is>
      </c>
    </row>
    <row r="21">
      <c r="B21" s="3" t="inlineStr">
        <is>
          <t>3. For each invoice, add a row in Invoices: pick Store / Equipment / Vendor from the drop-downs,</t>
        </is>
      </c>
    </row>
    <row r="22">
      <c r="B22" s="3" t="inlineStr">
        <is>
          <t xml:space="preserve">   set Category + Status, and enter the Line Total. Week-of and Month fill in automatically.</t>
        </is>
      </c>
    </row>
    <row r="23">
      <c r="B23" s="3" t="inlineStr">
        <is>
          <t>4. If an invoice covers several pieces of equipment, enter one row per item so cost is</t>
        </is>
      </c>
    </row>
    <row r="24">
      <c r="B24" s="3" t="inlineStr">
        <is>
          <t xml:space="preserve">   attributed to the right equipment type.</t>
        </is>
      </c>
    </row>
    <row r="25">
      <c r="B25" s="3" t="inlineStr">
        <is>
          <t>5. Open Trends — the charts update on their own.</t>
        </is>
      </c>
    </row>
    <row r="26">
      <c r="B26" s="3" t="inlineStr"/>
    </row>
    <row r="27">
      <c r="B27" s="4" t="inlineStr">
        <is>
          <t>WEEKLY WORKFLOW — AUTOMATE IT (Power Automate + AI Builder)</t>
        </is>
      </c>
    </row>
    <row r="28">
      <c r="B28" s="3" t="inlineStr">
        <is>
          <t>Once the columns are settled, replace step 3 with a Power Automate cloud flow:</t>
        </is>
      </c>
    </row>
    <row r="29">
      <c r="B29" s="3" t="inlineStr">
        <is>
          <t xml:space="preserve">  Trigger : 'When a new email arrives in Outlook' (filter to your invoices inbox/folder).</t>
        </is>
      </c>
    </row>
    <row r="30">
      <c r="B30" s="3" t="inlineStr">
        <is>
          <t xml:space="preserve">  Action 1: AI Builder → 'Extract information from invoices' (feed it the attachment).</t>
        </is>
      </c>
    </row>
    <row r="31">
      <c r="B31" s="3" t="inlineStr">
        <is>
          <t xml:space="preserve">  Action 2: Excel Online (Business) → 'Add a row into a table' → this file → table 'tblInvoices'.</t>
        </is>
      </c>
    </row>
    <row r="32">
      <c r="B32" s="3" t="inlineStr">
        <is>
          <t xml:space="preserve">  Map Invoice #, Date, Vendor, Line items (Description/Qty/Unit price/Amount) to the columns.</t>
        </is>
      </c>
    </row>
    <row r="33">
      <c r="B33" s="3" t="inlineStr">
        <is>
          <t xml:space="preserve">  Tip: run it on a weekly recurrence or per-email; add an approval step before it writes if you</t>
        </is>
      </c>
    </row>
    <row r="34">
      <c r="B34" s="3" t="inlineStr">
        <is>
          <t xml:space="preserve">       want a human check. Store &amp; Equipment Type may need a lookup/Copilot step — see notes.</t>
        </is>
      </c>
    </row>
    <row r="35">
      <c r="B35" s="3" t="inlineStr"/>
    </row>
    <row r="36">
      <c r="B36" s="4" t="inlineStr">
        <is>
          <t>CUSTOMIZE BEFORE FIRST USE</t>
        </is>
      </c>
    </row>
    <row r="37">
      <c r="B37" s="3" t="inlineStr">
        <is>
          <t>[ ] Replace the sample Stores, Equipment Types, Vendors with your real lists.</t>
        </is>
      </c>
    </row>
    <row r="38">
      <c r="B38" s="3" t="inlineStr">
        <is>
          <t>[ ] Delete the 8 sample rows in Invoices (they're only there to show the shape + demo charts).</t>
        </is>
      </c>
    </row>
    <row r="39">
      <c r="B39" s="3" t="inlineStr">
        <is>
          <t>[ ] Confirm the Category and Status drop-down values match how you classify work.</t>
        </is>
      </c>
    </row>
    <row r="40">
      <c r="B40" s="3" t="inlineStr"/>
    </row>
    <row r="41">
      <c r="B41" s="2" t="inlineStr">
        <is>
          <t>Sample data is illustrative only. Built as a starting point — tell me your real stores/equipment</t>
        </is>
      </c>
    </row>
    <row r="42">
      <c r="B42" s="2" t="inlineStr">
        <is>
          <t>and share one sample invoice, and I'll tailor the columns and wire up the flow.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9" customWidth="1" min="3" max="3"/>
    <col width="22" customWidth="1" min="4" max="4"/>
    <col width="20" customWidth="1" min="5" max="5"/>
    <col width="14" customWidth="1" min="6" max="6"/>
    <col width="13" customWidth="1" min="7" max="7"/>
    <col width="24" customWidth="1" min="8" max="8"/>
    <col width="12" customWidth="1" min="9" max="9"/>
    <col width="32" customWidth="1" min="10" max="10"/>
    <col width="6" customWidth="1" min="11" max="11"/>
    <col width="13" customWidth="1" min="12" max="12"/>
    <col width="10" customWidth="1" min="13" max="13"/>
    <col width="11" customWidth="1" min="14" max="14"/>
    <col width="14" customWidth="1" min="15" max="15"/>
    <col width="10" customWidth="1" min="16" max="16"/>
    <col width="22" customWidth="1" min="17" max="17"/>
    <col width="14" customWidth="1" min="18" max="18"/>
    <col width="26" customWidth="1" min="19" max="19"/>
  </cols>
  <sheetData>
    <row r="1">
      <c r="A1" s="5" t="inlineStr">
        <is>
          <t>Invoice Date</t>
        </is>
      </c>
      <c r="B1" s="5" t="inlineStr">
        <is>
          <t>Week Of (Mon)</t>
        </is>
      </c>
      <c r="C1" s="5" t="inlineStr">
        <is>
          <t>Month</t>
        </is>
      </c>
      <c r="D1" s="5" t="inlineStr">
        <is>
          <t>Store</t>
        </is>
      </c>
      <c r="E1" s="5" t="inlineStr">
        <is>
          <t>Equipment Type</t>
        </is>
      </c>
      <c r="F1" s="5" t="inlineStr">
        <is>
          <t>Category</t>
        </is>
      </c>
      <c r="G1" s="5" t="inlineStr">
        <is>
          <t>Line Total ($)</t>
        </is>
      </c>
      <c r="H1" s="5" t="inlineStr">
        <is>
          <t>Vendor</t>
        </is>
      </c>
      <c r="I1" s="5" t="inlineStr">
        <is>
          <t>Invoice #</t>
        </is>
      </c>
      <c r="J1" s="5" t="inlineStr">
        <is>
          <t>Description</t>
        </is>
      </c>
      <c r="K1" s="5" t="inlineStr">
        <is>
          <t>Qty</t>
        </is>
      </c>
      <c r="L1" s="5" t="inlineStr">
        <is>
          <t>Unit Price ($)</t>
        </is>
      </c>
      <c r="M1" s="5" t="inlineStr">
        <is>
          <t>Tax ($)</t>
        </is>
      </c>
      <c r="N1" s="5" t="inlineStr">
        <is>
          <t>Status</t>
        </is>
      </c>
      <c r="O1" s="5" t="inlineStr">
        <is>
          <t>Asset / Unit ID</t>
        </is>
      </c>
      <c r="P1" s="5" t="inlineStr">
        <is>
          <t>PO #</t>
        </is>
      </c>
      <c r="Q1" s="5" t="inlineStr">
        <is>
          <t>Invoice File</t>
        </is>
      </c>
      <c r="R1" s="5" t="inlineStr">
        <is>
          <t>Date Captured</t>
        </is>
      </c>
      <c r="S1" s="5" t="inlineStr">
        <is>
          <t>Notes</t>
        </is>
      </c>
    </row>
    <row r="2">
      <c r="A2" s="6" t="n">
        <v>46034</v>
      </c>
      <c r="B2" s="6">
        <f>IF($A2="","",$A2-WEEKDAY($A2,2)+1)</f>
        <v/>
      </c>
      <c r="C2">
        <f>IF($A2="","",TEXT($A2,"YYYY-MM"))</f>
        <v/>
      </c>
      <c r="D2" t="inlineStr">
        <is>
          <t>Store 101 - Downtown</t>
        </is>
      </c>
      <c r="E2" t="inlineStr">
        <is>
          <t>Fryer</t>
        </is>
      </c>
      <c r="F2" t="inlineStr">
        <is>
          <t>Repair</t>
        </is>
      </c>
      <c r="G2" s="7" t="n">
        <v>485</v>
      </c>
      <c r="H2" t="inlineStr">
        <is>
          <t>AceTech Mechanical</t>
        </is>
      </c>
      <c r="I2" t="inlineStr">
        <is>
          <t>INV-1001</t>
        </is>
      </c>
      <c r="J2" t="inlineStr">
        <is>
          <t>Replace fryer thermostat</t>
        </is>
      </c>
      <c r="K2" t="n">
        <v>1</v>
      </c>
      <c r="L2" s="7" t="n">
        <v>485</v>
      </c>
      <c r="M2" s="7" t="n">
        <v>0</v>
      </c>
      <c r="N2" t="inlineStr">
        <is>
          <t>Paid</t>
        </is>
      </c>
      <c r="O2" t="inlineStr">
        <is>
          <t>FRY-101-2</t>
        </is>
      </c>
      <c r="P2" t="inlineStr">
        <is>
          <t>PO-7741</t>
        </is>
      </c>
      <c r="Q2" t="inlineStr"/>
      <c r="R2" s="6" t="n">
        <v>46035</v>
      </c>
      <c r="S2" t="inlineStr"/>
    </row>
    <row r="3">
      <c r="A3" s="6" t="n">
        <v>46042</v>
      </c>
      <c r="B3" s="6">
        <f>IF($A3="","",$A3-WEEKDAY($A3,2)+1)</f>
        <v/>
      </c>
      <c r="C3">
        <f>IF($A3="","",TEXT($A3,"YYYY-MM"))</f>
        <v/>
      </c>
      <c r="D3" t="inlineStr">
        <is>
          <t>Store 102 - Airport</t>
        </is>
      </c>
      <c r="E3" t="inlineStr">
        <is>
          <t>Walk-in Cooler</t>
        </is>
      </c>
      <c r="F3" t="inlineStr">
        <is>
          <t>Maintenance</t>
        </is>
      </c>
      <c r="G3" s="7" t="n">
        <v>320</v>
      </c>
      <c r="H3" t="inlineStr">
        <is>
          <t>CoolBreeze Refrigeration</t>
        </is>
      </c>
      <c r="I3" t="inlineStr">
        <is>
          <t>INV-1002</t>
        </is>
      </c>
      <c r="J3" t="inlineStr">
        <is>
          <t>Quarterly PM - walk-in cooler</t>
        </is>
      </c>
      <c r="K3" t="n">
        <v>1</v>
      </c>
      <c r="L3" s="7" t="n">
        <v>320</v>
      </c>
      <c r="M3" s="7" t="n">
        <v>0</v>
      </c>
      <c r="N3" t="inlineStr">
        <is>
          <t>Paid</t>
        </is>
      </c>
      <c r="O3" t="inlineStr">
        <is>
          <t>WIC-102-1</t>
        </is>
      </c>
      <c r="P3" t="inlineStr">
        <is>
          <t>PO-7752</t>
        </is>
      </c>
      <c r="Q3" t="inlineStr"/>
      <c r="R3" s="6" t="n">
        <v>46043</v>
      </c>
      <c r="S3" t="inlineStr"/>
    </row>
    <row r="4">
      <c r="A4" s="6" t="n">
        <v>46056</v>
      </c>
      <c r="B4" s="6">
        <f>IF($A4="","",$A4-WEEKDAY($A4,2)+1)</f>
        <v/>
      </c>
      <c r="C4">
        <f>IF($A4="","",TEXT($A4,"YYYY-MM"))</f>
        <v/>
      </c>
      <c r="D4" t="inlineStr">
        <is>
          <t>Store 101 - Downtown</t>
        </is>
      </c>
      <c r="E4" t="inlineStr">
        <is>
          <t>Rooftop HVAC Unit</t>
        </is>
      </c>
      <c r="F4" t="inlineStr">
        <is>
          <t>Repair</t>
        </is>
      </c>
      <c r="G4" s="7" t="n">
        <v>1250</v>
      </c>
      <c r="H4" t="inlineStr">
        <is>
          <t>AirPro HVAC</t>
        </is>
      </c>
      <c r="I4" t="inlineStr">
        <is>
          <t>INV-1003</t>
        </is>
      </c>
      <c r="J4" t="inlineStr">
        <is>
          <t>Compressor replacement RTU-2</t>
        </is>
      </c>
      <c r="K4" t="n">
        <v>1</v>
      </c>
      <c r="L4" s="7" t="n">
        <v>1100</v>
      </c>
      <c r="M4" s="7" t="n">
        <v>150</v>
      </c>
      <c r="N4" t="inlineStr">
        <is>
          <t>Paid</t>
        </is>
      </c>
      <c r="O4" t="inlineStr">
        <is>
          <t>RTU-101-2</t>
        </is>
      </c>
      <c r="P4" t="inlineStr">
        <is>
          <t>PO-7763</t>
        </is>
      </c>
      <c r="Q4" t="inlineStr"/>
      <c r="R4" s="6" t="n">
        <v>46057</v>
      </c>
      <c r="S4" t="inlineStr">
        <is>
          <t>Approved by GM</t>
        </is>
      </c>
    </row>
    <row r="5">
      <c r="A5" s="6" t="n">
        <v>46068</v>
      </c>
      <c r="B5" s="6">
        <f>IF($A5="","",$A5-WEEKDAY($A5,2)+1)</f>
        <v/>
      </c>
      <c r="C5">
        <f>IF($A5="","",TEXT($A5,"YYYY-MM"))</f>
        <v/>
      </c>
      <c r="D5" t="inlineStr">
        <is>
          <t>Store 103 - Westside</t>
        </is>
      </c>
      <c r="E5" t="inlineStr">
        <is>
          <t>Ice Machine</t>
        </is>
      </c>
      <c r="F5" t="inlineStr">
        <is>
          <t>Repair</t>
        </is>
      </c>
      <c r="G5" s="7" t="n">
        <v>540</v>
      </c>
      <c r="H5" t="inlineStr">
        <is>
          <t>CoolBreeze Refrigeration</t>
        </is>
      </c>
      <c r="I5" t="inlineStr">
        <is>
          <t>INV-1004</t>
        </is>
      </c>
      <c r="J5" t="inlineStr">
        <is>
          <t>Replace water pump + clean</t>
        </is>
      </c>
      <c r="K5" t="n">
        <v>1</v>
      </c>
      <c r="L5" s="7" t="n">
        <v>540</v>
      </c>
      <c r="M5" s="7" t="n">
        <v>0</v>
      </c>
      <c r="N5" t="inlineStr">
        <is>
          <t>Paid</t>
        </is>
      </c>
      <c r="O5" t="inlineStr">
        <is>
          <t>ICE-103-1</t>
        </is>
      </c>
      <c r="P5" t="inlineStr">
        <is>
          <t>PO-7770</t>
        </is>
      </c>
      <c r="Q5" t="inlineStr"/>
      <c r="R5" s="6" t="n">
        <v>46069</v>
      </c>
      <c r="S5" t="inlineStr"/>
    </row>
    <row r="6">
      <c r="A6" s="6" t="n">
        <v>46089</v>
      </c>
      <c r="B6" s="6">
        <f>IF($A6="","",$A6-WEEKDAY($A6,2)+1)</f>
        <v/>
      </c>
      <c r="C6">
        <f>IF($A6="","",TEXT($A6,"YYYY-MM"))</f>
        <v/>
      </c>
      <c r="D6" t="inlineStr">
        <is>
          <t>Store 102 - Airport</t>
        </is>
      </c>
      <c r="E6" t="inlineStr">
        <is>
          <t>POS Terminal</t>
        </is>
      </c>
      <c r="F6" t="inlineStr">
        <is>
          <t>Replacement</t>
        </is>
      </c>
      <c r="G6" s="7" t="n">
        <v>899</v>
      </c>
      <c r="H6" t="inlineStr">
        <is>
          <t>TechPoint IT</t>
        </is>
      </c>
      <c r="I6" t="inlineStr">
        <is>
          <t>INV-1005</t>
        </is>
      </c>
      <c r="J6" t="inlineStr">
        <is>
          <t>Replace POS terminal lane 2</t>
        </is>
      </c>
      <c r="K6" t="n">
        <v>1</v>
      </c>
      <c r="L6" s="7" t="n">
        <v>899</v>
      </c>
      <c r="M6" s="7" t="n">
        <v>0</v>
      </c>
      <c r="N6" t="inlineStr">
        <is>
          <t>Approved</t>
        </is>
      </c>
      <c r="O6" t="inlineStr">
        <is>
          <t>POS-102-2</t>
        </is>
      </c>
      <c r="P6" t="inlineStr">
        <is>
          <t>PO-7781</t>
        </is>
      </c>
      <c r="Q6" t="inlineStr"/>
      <c r="R6" s="6" t="n">
        <v>46090</v>
      </c>
      <c r="S6" t="inlineStr"/>
    </row>
    <row r="7">
      <c r="A7" s="6" t="n">
        <v>46103</v>
      </c>
      <c r="B7" s="6">
        <f>IF($A7="","",$A7-WEEKDAY($A7,2)+1)</f>
        <v/>
      </c>
      <c r="C7">
        <f>IF($A7="","",TEXT($A7,"YYYY-MM"))</f>
        <v/>
      </c>
      <c r="D7" t="inlineStr">
        <is>
          <t>Store 101 - Downtown</t>
        </is>
      </c>
      <c r="E7" t="inlineStr">
        <is>
          <t>Grease Trap</t>
        </is>
      </c>
      <c r="F7" t="inlineStr">
        <is>
          <t>Maintenance</t>
        </is>
      </c>
      <c r="G7" s="7" t="n">
        <v>275</v>
      </c>
      <c r="H7" t="inlineStr">
        <is>
          <t>ClearFlow Plumbing</t>
        </is>
      </c>
      <c r="I7" t="inlineStr">
        <is>
          <t>INV-1006</t>
        </is>
      </c>
      <c r="J7" t="inlineStr">
        <is>
          <t>Grease trap pump-out + clean</t>
        </is>
      </c>
      <c r="K7" t="n">
        <v>1</v>
      </c>
      <c r="L7" s="7" t="n">
        <v>275</v>
      </c>
      <c r="M7" s="7" t="n">
        <v>0</v>
      </c>
      <c r="N7" t="inlineStr">
        <is>
          <t>Paid</t>
        </is>
      </c>
      <c r="O7" t="inlineStr">
        <is>
          <t>GT-101-1</t>
        </is>
      </c>
      <c r="P7" t="inlineStr">
        <is>
          <t>PO-7790</t>
        </is>
      </c>
      <c r="Q7" t="inlineStr"/>
      <c r="R7" s="6" t="n">
        <v>46104</v>
      </c>
      <c r="S7" t="inlineStr"/>
    </row>
    <row r="8">
      <c r="A8" s="6" t="n">
        <v>46122</v>
      </c>
      <c r="B8" s="6">
        <f>IF($A8="","",$A8-WEEKDAY($A8,2)+1)</f>
        <v/>
      </c>
      <c r="C8">
        <f>IF($A8="","",TEXT($A8,"YYYY-MM"))</f>
        <v/>
      </c>
      <c r="D8" t="inlineStr">
        <is>
          <t>Store 103 - Westside</t>
        </is>
      </c>
      <c r="E8" t="inlineStr">
        <is>
          <t>Reach-in Freezer</t>
        </is>
      </c>
      <c r="F8" t="inlineStr">
        <is>
          <t>Repair</t>
        </is>
      </c>
      <c r="G8" s="7" t="n">
        <v>410</v>
      </c>
      <c r="H8" t="inlineStr">
        <is>
          <t>CoolBreeze Refrigeration</t>
        </is>
      </c>
      <c r="I8" t="inlineStr">
        <is>
          <t>INV-1007</t>
        </is>
      </c>
      <c r="J8" t="inlineStr">
        <is>
          <t>Door gasket + hinge kit</t>
        </is>
      </c>
      <c r="K8" t="n">
        <v>1</v>
      </c>
      <c r="L8" s="7" t="n">
        <v>410</v>
      </c>
      <c r="M8" s="7" t="n">
        <v>0</v>
      </c>
      <c r="N8" t="inlineStr">
        <is>
          <t>Pending</t>
        </is>
      </c>
      <c r="O8" t="inlineStr">
        <is>
          <t>RIF-103-3</t>
        </is>
      </c>
      <c r="P8" t="inlineStr">
        <is>
          <t>PO-7802</t>
        </is>
      </c>
      <c r="Q8" t="inlineStr"/>
      <c r="R8" s="6" t="n">
        <v>46123</v>
      </c>
      <c r="S8" t="inlineStr"/>
    </row>
    <row r="9">
      <c r="A9" s="6" t="n">
        <v>46147</v>
      </c>
      <c r="B9" s="6">
        <f>IF($A9="","",$A9-WEEKDAY($A9,2)+1)</f>
        <v/>
      </c>
      <c r="C9">
        <f>IF($A9="","",TEXT($A9,"YYYY-MM"))</f>
        <v/>
      </c>
      <c r="D9" t="inlineStr">
        <is>
          <t>Store 102 - Airport</t>
        </is>
      </c>
      <c r="E9" t="inlineStr">
        <is>
          <t>Dishwasher</t>
        </is>
      </c>
      <c r="F9" t="inlineStr">
        <is>
          <t>Repair</t>
        </is>
      </c>
      <c r="G9" s="7" t="n">
        <v>365</v>
      </c>
      <c r="H9" t="inlineStr">
        <is>
          <t>AceTech Mechanical</t>
        </is>
      </c>
      <c r="I9" t="inlineStr">
        <is>
          <t>INV-1008</t>
        </is>
      </c>
      <c r="J9" t="inlineStr">
        <is>
          <t>Replace drain pump</t>
        </is>
      </c>
      <c r="K9" t="n">
        <v>1</v>
      </c>
      <c r="L9" s="7" t="n">
        <v>365</v>
      </c>
      <c r="M9" s="7" t="n">
        <v>0</v>
      </c>
      <c r="N9" t="inlineStr">
        <is>
          <t>Pending</t>
        </is>
      </c>
      <c r="O9" t="inlineStr">
        <is>
          <t>DW-102-1</t>
        </is>
      </c>
      <c r="P9" t="inlineStr">
        <is>
          <t>PO-7815</t>
        </is>
      </c>
      <c r="Q9" t="inlineStr"/>
      <c r="R9" s="6" t="n">
        <v>46148</v>
      </c>
      <c r="S9" t="inlineStr"/>
    </row>
  </sheetData>
  <dataValidations count="5">
    <dataValidation sqref="D2:D5000" showDropDown="0" showInputMessage="0" showErrorMessage="0" allowBlank="1" errorTitle="Not in list" error="Pick a value from the list (edit the source sheet to add new ones)." prompt="Choose from the drop-down" type="list">
      <formula1>=StoreList</formula1>
    </dataValidation>
    <dataValidation sqref="E2:E5000" showDropDown="0" showInputMessage="0" showErrorMessage="0" allowBlank="1" errorTitle="Not in list" error="Pick a value from the list (edit the source sheet to add new ones)." prompt="Choose from the drop-down" type="list">
      <formula1>=EquipList</formula1>
    </dataValidation>
    <dataValidation sqref="F2:F5000" showDropDown="0" showInputMessage="0" showErrorMessage="0" allowBlank="1" errorTitle="Not in list" error="Pick a value from the list (edit the source sheet to add new ones)." prompt="Choose from the drop-down" type="list">
      <formula1>"Repair,Maintenance,Replacement,Installation,Inspection,Emergency"</formula1>
    </dataValidation>
    <dataValidation sqref="H2:H5000" showDropDown="0" showInputMessage="0" showErrorMessage="0" allowBlank="1" errorTitle="Not in list" error="Pick a value from the list (edit the source sheet to add new ones)." prompt="Choose from the drop-down" type="list">
      <formula1>=VendorList</formula1>
    </dataValidation>
    <dataValidation sqref="N2:N5000" showDropDown="0" showInputMessage="0" showErrorMessage="0" allowBlank="1" errorTitle="Not in list" error="Pick a value from the list (edit the source sheet to add new ones)." prompt="Choose from the drop-down" type="list">
      <formula1>"Paid,Approved,Pending,Disputed,Void"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0" customWidth="1" min="3" max="3"/>
    <col width="18" customWidth="1" min="4" max="4"/>
    <col width="16" customWidth="1" min="5" max="5"/>
  </cols>
  <sheetData>
    <row r="1">
      <c r="A1" s="5" t="inlineStr">
        <is>
          <t>Store ID</t>
        </is>
      </c>
      <c r="B1" s="5" t="inlineStr">
        <is>
          <t>Store Name</t>
        </is>
      </c>
      <c r="C1" s="5" t="inlineStr">
        <is>
          <t>Region</t>
        </is>
      </c>
      <c r="D1" s="5" t="inlineStr">
        <is>
          <t>City / State</t>
        </is>
      </c>
      <c r="E1" s="5" t="inlineStr">
        <is>
          <t>Manager</t>
        </is>
      </c>
    </row>
    <row r="2">
      <c r="A2" t="inlineStr">
        <is>
          <t>101</t>
        </is>
      </c>
      <c r="B2" t="inlineStr">
        <is>
          <t>Store 101 - Downtown</t>
        </is>
      </c>
      <c r="C2" t="inlineStr">
        <is>
          <t>West</t>
        </is>
      </c>
      <c r="D2" t="inlineStr">
        <is>
          <t>San Diego, CA</t>
        </is>
      </c>
      <c r="E2" t="inlineStr">
        <is>
          <t>A. Rivera</t>
        </is>
      </c>
    </row>
    <row r="3">
      <c r="A3" t="inlineStr">
        <is>
          <t>102</t>
        </is>
      </c>
      <c r="B3" t="inlineStr">
        <is>
          <t>Store 102 - Airport</t>
        </is>
      </c>
      <c r="C3" t="inlineStr">
        <is>
          <t>West</t>
        </is>
      </c>
      <c r="D3" t="inlineStr">
        <is>
          <t>San Diego, CA</t>
        </is>
      </c>
      <c r="E3" t="inlineStr">
        <is>
          <t>M. Chen</t>
        </is>
      </c>
    </row>
    <row r="4">
      <c r="A4" t="inlineStr">
        <is>
          <t>103</t>
        </is>
      </c>
      <c r="B4" t="inlineStr">
        <is>
          <t>Store 103 - Westside</t>
        </is>
      </c>
      <c r="C4" t="inlineStr">
        <is>
          <t>West</t>
        </is>
      </c>
      <c r="D4" t="inlineStr">
        <is>
          <t>Carlsbad, CA</t>
        </is>
      </c>
      <c r="E4" t="inlineStr">
        <is>
          <t>J. Patel</t>
        </is>
      </c>
    </row>
    <row r="5">
      <c r="A5" t="inlineStr">
        <is>
          <t>104</t>
        </is>
      </c>
      <c r="B5" t="inlineStr">
        <is>
          <t>Store 104 - Eastgate</t>
        </is>
      </c>
      <c r="C5" t="inlineStr">
        <is>
          <t>East</t>
        </is>
      </c>
      <c r="D5" t="inlineStr">
        <is>
          <t>Phoenix, AZ</t>
        </is>
      </c>
      <c r="E5" t="inlineStr">
        <is>
          <t>L. Gomez</t>
        </is>
      </c>
    </row>
    <row r="6">
      <c r="A6" t="inlineStr">
        <is>
          <t>105</t>
        </is>
      </c>
      <c r="B6" t="inlineStr">
        <is>
          <t>Store 105 - Northpark</t>
        </is>
      </c>
      <c r="C6" t="inlineStr">
        <is>
          <t>East</t>
        </is>
      </c>
      <c r="D6" t="inlineStr">
        <is>
          <t>Phoenix, AZ</t>
        </is>
      </c>
      <c r="E6" t="inlineStr">
        <is>
          <t>S. Brooks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4" customWidth="1" min="3" max="3"/>
    <col width="22" customWidth="1" min="4" max="4"/>
  </cols>
  <sheetData>
    <row r="1">
      <c r="A1" s="5" t="inlineStr">
        <is>
          <t>Equipment Type</t>
        </is>
      </c>
      <c r="B1" s="5" t="inlineStr">
        <is>
          <t>Equipment Class</t>
        </is>
      </c>
      <c r="C1" s="5" t="inlineStr">
        <is>
          <t>Typical Useful Life (yrs)</t>
        </is>
      </c>
      <c r="D1" s="5" t="inlineStr">
        <is>
          <t>Notes</t>
        </is>
      </c>
    </row>
    <row r="2">
      <c r="A2" t="inlineStr">
        <is>
          <t>Fryer</t>
        </is>
      </c>
      <c r="B2" t="inlineStr">
        <is>
          <t>Cooking</t>
        </is>
      </c>
      <c r="C2" t="n">
        <v>10</v>
      </c>
      <c r="D2" t="inlineStr"/>
    </row>
    <row r="3">
      <c r="A3" t="inlineStr">
        <is>
          <t>Range / Oven</t>
        </is>
      </c>
      <c r="B3" t="inlineStr">
        <is>
          <t>Cooking</t>
        </is>
      </c>
      <c r="C3" t="n">
        <v>12</v>
      </c>
      <c r="D3" t="inlineStr"/>
    </row>
    <row r="4">
      <c r="A4" t="inlineStr">
        <is>
          <t>Grill / Griddle</t>
        </is>
      </c>
      <c r="B4" t="inlineStr">
        <is>
          <t>Cooking</t>
        </is>
      </c>
      <c r="C4" t="n">
        <v>12</v>
      </c>
      <c r="D4" t="inlineStr"/>
    </row>
    <row r="5">
      <c r="A5" t="inlineStr">
        <is>
          <t>Hood / Exhaust Fan</t>
        </is>
      </c>
      <c r="B5" t="inlineStr">
        <is>
          <t>HVAC</t>
        </is>
      </c>
      <c r="C5" t="n">
        <v>15</v>
      </c>
      <c r="D5" t="inlineStr">
        <is>
          <t>Includes make-up air</t>
        </is>
      </c>
    </row>
    <row r="6">
      <c r="A6" t="inlineStr">
        <is>
          <t>Walk-in Cooler</t>
        </is>
      </c>
      <c r="B6" t="inlineStr">
        <is>
          <t>Refrigeration</t>
        </is>
      </c>
      <c r="C6" t="n">
        <v>15</v>
      </c>
      <c r="D6" t="inlineStr"/>
    </row>
    <row r="7">
      <c r="A7" t="inlineStr">
        <is>
          <t>Reach-in Freezer</t>
        </is>
      </c>
      <c r="B7" t="inlineStr">
        <is>
          <t>Refrigeration</t>
        </is>
      </c>
      <c r="C7" t="n">
        <v>10</v>
      </c>
      <c r="D7" t="inlineStr"/>
    </row>
    <row r="8">
      <c r="A8" t="inlineStr">
        <is>
          <t>Ice Machine</t>
        </is>
      </c>
      <c r="B8" t="inlineStr">
        <is>
          <t>Refrigeration</t>
        </is>
      </c>
      <c r="C8" t="n">
        <v>7</v>
      </c>
      <c r="D8" t="inlineStr"/>
    </row>
    <row r="9">
      <c r="A9" t="inlineStr">
        <is>
          <t>Soda / Beverage Fountain</t>
        </is>
      </c>
      <c r="B9" t="inlineStr">
        <is>
          <t>Beverage</t>
        </is>
      </c>
      <c r="C9" t="n">
        <v>8</v>
      </c>
      <c r="D9" t="inlineStr"/>
    </row>
    <row r="10">
      <c r="A10" t="inlineStr">
        <is>
          <t>Coffee Machine</t>
        </is>
      </c>
      <c r="B10" t="inlineStr">
        <is>
          <t>Beverage</t>
        </is>
      </c>
      <c r="C10" t="n">
        <v>7</v>
      </c>
      <c r="D10" t="inlineStr"/>
    </row>
    <row r="11">
      <c r="A11" t="inlineStr">
        <is>
          <t>Dishwasher</t>
        </is>
      </c>
      <c r="B11" t="inlineStr">
        <is>
          <t>Warewashing</t>
        </is>
      </c>
      <c r="C11" t="n">
        <v>10</v>
      </c>
      <c r="D11" t="inlineStr"/>
    </row>
    <row r="12">
      <c r="A12" t="inlineStr">
        <is>
          <t>Grease Trap</t>
        </is>
      </c>
      <c r="B12" t="inlineStr">
        <is>
          <t>Plumbing</t>
        </is>
      </c>
      <c r="C12" t="n">
        <v>15</v>
      </c>
      <c r="D12" t="inlineStr"/>
    </row>
    <row r="13">
      <c r="A13" t="inlineStr">
        <is>
          <t>Water Heater</t>
        </is>
      </c>
      <c r="B13" t="inlineStr">
        <is>
          <t>Plumbing</t>
        </is>
      </c>
      <c r="C13" t="n">
        <v>12</v>
      </c>
      <c r="D13" t="inlineStr"/>
    </row>
    <row r="14">
      <c r="A14" t="inlineStr">
        <is>
          <t>Rooftop HVAC Unit</t>
        </is>
      </c>
      <c r="B14" t="inlineStr">
        <is>
          <t>HVAC</t>
        </is>
      </c>
      <c r="C14" t="n">
        <v>15</v>
      </c>
      <c r="D14" t="inlineStr">
        <is>
          <t>RTU</t>
        </is>
      </c>
    </row>
    <row r="15">
      <c r="A15" t="inlineStr">
        <is>
          <t>Mini-split AC</t>
        </is>
      </c>
      <c r="B15" t="inlineStr">
        <is>
          <t>HVAC</t>
        </is>
      </c>
      <c r="C15" t="n">
        <v>12</v>
      </c>
      <c r="D15" t="inlineStr"/>
    </row>
    <row r="16">
      <c r="A16" t="inlineStr">
        <is>
          <t>POS Terminal</t>
        </is>
      </c>
      <c r="B16" t="inlineStr">
        <is>
          <t>POS / IT</t>
        </is>
      </c>
      <c r="C16" t="n">
        <v>6</v>
      </c>
      <c r="D16" t="inlineStr"/>
    </row>
    <row r="17">
      <c r="A17" t="inlineStr">
        <is>
          <t>Receipt Printer</t>
        </is>
      </c>
      <c r="B17" t="inlineStr">
        <is>
          <t>POS / IT</t>
        </is>
      </c>
      <c r="C17" t="n">
        <v>5</v>
      </c>
      <c r="D17" t="inlineStr"/>
    </row>
    <row r="18">
      <c r="A18" t="inlineStr">
        <is>
          <t>Security / CCTV</t>
        </is>
      </c>
      <c r="B18" t="inlineStr">
        <is>
          <t>POS / IT</t>
        </is>
      </c>
      <c r="C18" t="n">
        <v>7</v>
      </c>
      <c r="D18" t="inlineStr"/>
    </row>
    <row r="19">
      <c r="A19" t="inlineStr">
        <is>
          <t>Lighting / Electrical</t>
        </is>
      </c>
      <c r="B19" t="inlineStr">
        <is>
          <t>Electrical</t>
        </is>
      </c>
      <c r="C19" t="n">
        <v>20</v>
      </c>
      <c r="D19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6" customWidth="1" min="3" max="3"/>
    <col width="30" customWidth="1" min="4" max="4"/>
  </cols>
  <sheetData>
    <row r="1">
      <c r="A1" s="5" t="inlineStr">
        <is>
          <t>Vendor Name</t>
        </is>
      </c>
      <c r="B1" s="5" t="inlineStr">
        <is>
          <t>Trade / Specialty</t>
        </is>
      </c>
      <c r="C1" s="5" t="inlineStr">
        <is>
          <t>Contact</t>
        </is>
      </c>
      <c r="D1" s="5" t="inlineStr">
        <is>
          <t>Phone / Email</t>
        </is>
      </c>
    </row>
    <row r="2">
      <c r="A2" t="inlineStr">
        <is>
          <t>AceTech Mechanical</t>
        </is>
      </c>
      <c r="B2" t="inlineStr">
        <is>
          <t>General Mechanical</t>
        </is>
      </c>
      <c r="C2" t="inlineStr">
        <is>
          <t>Bill Ace</t>
        </is>
      </c>
      <c r="D2" t="inlineStr">
        <is>
          <t>dispatch@acetech.example</t>
        </is>
      </c>
    </row>
    <row r="3">
      <c r="A3" t="inlineStr">
        <is>
          <t>CoolBreeze Refrigeration</t>
        </is>
      </c>
      <c r="B3" t="inlineStr">
        <is>
          <t>Refrigeration</t>
        </is>
      </c>
      <c r="C3" t="inlineStr">
        <is>
          <t>Dana Frost</t>
        </is>
      </c>
      <c r="D3" t="inlineStr">
        <is>
          <t>service@coolbreeze.example</t>
        </is>
      </c>
    </row>
    <row r="4">
      <c r="A4" t="inlineStr">
        <is>
          <t>AirPro HVAC</t>
        </is>
      </c>
      <c r="B4" t="inlineStr">
        <is>
          <t>HVAC</t>
        </is>
      </c>
      <c r="C4" t="inlineStr">
        <is>
          <t>Ravi Kumar</t>
        </is>
      </c>
      <c r="D4" t="inlineStr">
        <is>
          <t>ops@airpro.example</t>
        </is>
      </c>
    </row>
    <row r="5">
      <c r="A5" t="inlineStr">
        <is>
          <t>ClearFlow Plumbing</t>
        </is>
      </c>
      <c r="B5" t="inlineStr">
        <is>
          <t>Plumbing</t>
        </is>
      </c>
      <c r="C5" t="inlineStr">
        <is>
          <t>Tom Wells</t>
        </is>
      </c>
      <c r="D5" t="inlineStr">
        <is>
          <t>help@clearflow.example</t>
        </is>
      </c>
    </row>
    <row r="6">
      <c r="A6" t="inlineStr">
        <is>
          <t>TechPoint IT</t>
        </is>
      </c>
      <c r="B6" t="inlineStr">
        <is>
          <t>POS / IT</t>
        </is>
      </c>
      <c r="C6" t="inlineStr">
        <is>
          <t>Nina Park</t>
        </is>
      </c>
      <c r="D6" t="inlineStr">
        <is>
          <t>support@techpoint.example</t>
        </is>
      </c>
    </row>
    <row r="7">
      <c r="A7" t="inlineStr">
        <is>
          <t>BrightSpark Electric</t>
        </is>
      </c>
      <c r="B7" t="inlineStr">
        <is>
          <t>Electrical</t>
        </is>
      </c>
      <c r="C7" t="inlineStr">
        <is>
          <t>Joe Volt</t>
        </is>
      </c>
      <c r="D7" t="inlineStr">
        <is>
          <t>info@brightspark.example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2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Spend Trends</t>
        </is>
      </c>
    </row>
    <row r="2">
      <c r="A2" s="2" t="inlineStr">
        <is>
          <t>Live from the Invoices sheet — charts refresh as rows are added.</t>
        </is>
      </c>
    </row>
    <row r="4">
      <c r="A4" s="4" t="inlineStr">
        <is>
          <t>Cost by Store</t>
        </is>
      </c>
      <c r="D4" s="4" t="inlineStr">
        <is>
          <t>Cost by Equipment Type</t>
        </is>
      </c>
    </row>
    <row r="5">
      <c r="A5" s="8" t="inlineStr">
        <is>
          <t>Store</t>
        </is>
      </c>
      <c r="B5" s="9" t="inlineStr">
        <is>
          <t>Total ($)</t>
        </is>
      </c>
      <c r="D5" s="9" t="inlineStr">
        <is>
          <t>Equipment Type</t>
        </is>
      </c>
      <c r="E5" s="9" t="inlineStr">
        <is>
          <t>Total ($)</t>
        </is>
      </c>
    </row>
    <row r="6">
      <c r="A6" t="inlineStr">
        <is>
          <t>Store 101 - Downtown</t>
        </is>
      </c>
      <c r="B6" s="7">
        <f>SUMIFS(Invoices!$G$2:$G$5000,Invoices!$D$2:$D$5000,$A6)</f>
        <v/>
      </c>
      <c r="D6" t="inlineStr">
        <is>
          <t>Fryer</t>
        </is>
      </c>
      <c r="E6" s="7">
        <f>SUMIFS(Invoices!$G$2:$G$5000,Invoices!$E$2:$E$5000,$D6)</f>
        <v/>
      </c>
    </row>
    <row r="7">
      <c r="A7" t="inlineStr">
        <is>
          <t>Store 102 - Airport</t>
        </is>
      </c>
      <c r="B7" s="7">
        <f>SUMIFS(Invoices!$G$2:$G$5000,Invoices!$D$2:$D$5000,$A7)</f>
        <v/>
      </c>
      <c r="D7" t="inlineStr">
        <is>
          <t>Range / Oven</t>
        </is>
      </c>
      <c r="E7" s="7">
        <f>SUMIFS(Invoices!$G$2:$G$5000,Invoices!$E$2:$E$5000,$D7)</f>
        <v/>
      </c>
    </row>
    <row r="8">
      <c r="A8" t="inlineStr">
        <is>
          <t>Store 103 - Westside</t>
        </is>
      </c>
      <c r="B8" s="7">
        <f>SUMIFS(Invoices!$G$2:$G$5000,Invoices!$D$2:$D$5000,$A8)</f>
        <v/>
      </c>
      <c r="D8" t="inlineStr">
        <is>
          <t>Grill / Griddle</t>
        </is>
      </c>
      <c r="E8" s="7">
        <f>SUMIFS(Invoices!$G$2:$G$5000,Invoices!$E$2:$E$5000,$D8)</f>
        <v/>
      </c>
    </row>
    <row r="9">
      <c r="A9" t="inlineStr">
        <is>
          <t>Store 104 - Eastgate</t>
        </is>
      </c>
      <c r="B9" s="7">
        <f>SUMIFS(Invoices!$G$2:$G$5000,Invoices!$D$2:$D$5000,$A9)</f>
        <v/>
      </c>
      <c r="D9" t="inlineStr">
        <is>
          <t>Hood / Exhaust Fan</t>
        </is>
      </c>
      <c r="E9" s="7">
        <f>SUMIFS(Invoices!$G$2:$G$5000,Invoices!$E$2:$E$5000,$D9)</f>
        <v/>
      </c>
    </row>
    <row r="10">
      <c r="A10" t="inlineStr">
        <is>
          <t>Store 105 - Northpark</t>
        </is>
      </c>
      <c r="B10" s="7">
        <f>SUMIFS(Invoices!$G$2:$G$5000,Invoices!$D$2:$D$5000,$A10)</f>
        <v/>
      </c>
      <c r="D10" t="inlineStr">
        <is>
          <t>Walk-in Cooler</t>
        </is>
      </c>
      <c r="E10" s="7">
        <f>SUMIFS(Invoices!$G$2:$G$5000,Invoices!$E$2:$E$5000,$D10)</f>
        <v/>
      </c>
    </row>
    <row r="11">
      <c r="D11" t="inlineStr">
        <is>
          <t>Reach-in Freezer</t>
        </is>
      </c>
      <c r="E11" s="7">
        <f>SUMIFS(Invoices!$G$2:$G$5000,Invoices!$E$2:$E$5000,$D11)</f>
        <v/>
      </c>
    </row>
    <row r="12">
      <c r="A12" s="4" t="inlineStr">
        <is>
          <t>Cost by Category</t>
        </is>
      </c>
      <c r="D12" t="inlineStr">
        <is>
          <t>Ice Machine</t>
        </is>
      </c>
      <c r="E12" s="7">
        <f>SUMIFS(Invoices!$G$2:$G$5000,Invoices!$E$2:$E$5000,$D12)</f>
        <v/>
      </c>
    </row>
    <row r="13">
      <c r="A13" s="10" t="inlineStr">
        <is>
          <t>Category</t>
        </is>
      </c>
      <c r="B13" s="10" t="inlineStr">
        <is>
          <t>Total ($)</t>
        </is>
      </c>
      <c r="D13" t="inlineStr">
        <is>
          <t>Soda / Beverage Fountain</t>
        </is>
      </c>
      <c r="E13" s="7">
        <f>SUMIFS(Invoices!$G$2:$G$5000,Invoices!$E$2:$E$5000,$D13)</f>
        <v/>
      </c>
    </row>
    <row r="14">
      <c r="A14" t="inlineStr">
        <is>
          <t>Repair</t>
        </is>
      </c>
      <c r="B14" s="7">
        <f>SUMIFS(Invoices!$G$2:$G$5000,Invoices!$F$2:$F$5000,$A14)</f>
        <v/>
      </c>
      <c r="D14" t="inlineStr">
        <is>
          <t>Coffee Machine</t>
        </is>
      </c>
      <c r="E14" s="7">
        <f>SUMIFS(Invoices!$G$2:$G$5000,Invoices!$E$2:$E$5000,$D14)</f>
        <v/>
      </c>
    </row>
    <row r="15">
      <c r="A15" t="inlineStr">
        <is>
          <t>Maintenance</t>
        </is>
      </c>
      <c r="B15" s="7">
        <f>SUMIFS(Invoices!$G$2:$G$5000,Invoices!$F$2:$F$5000,$A15)</f>
        <v/>
      </c>
      <c r="D15" t="inlineStr">
        <is>
          <t>Dishwasher</t>
        </is>
      </c>
      <c r="E15" s="7">
        <f>SUMIFS(Invoices!$G$2:$G$5000,Invoices!$E$2:$E$5000,$D15)</f>
        <v/>
      </c>
    </row>
    <row r="16">
      <c r="A16" t="inlineStr">
        <is>
          <t>Replacement</t>
        </is>
      </c>
      <c r="B16" s="7">
        <f>SUMIFS(Invoices!$G$2:$G$5000,Invoices!$F$2:$F$5000,$A16)</f>
        <v/>
      </c>
      <c r="D16" t="inlineStr">
        <is>
          <t>Grease Trap</t>
        </is>
      </c>
      <c r="E16" s="7">
        <f>SUMIFS(Invoices!$G$2:$G$5000,Invoices!$E$2:$E$5000,$D16)</f>
        <v/>
      </c>
    </row>
    <row r="17">
      <c r="A17" t="inlineStr">
        <is>
          <t>Installation</t>
        </is>
      </c>
      <c r="B17" s="7">
        <f>SUMIFS(Invoices!$G$2:$G$5000,Invoices!$F$2:$F$5000,$A17)</f>
        <v/>
      </c>
      <c r="D17" t="inlineStr">
        <is>
          <t>Water Heater</t>
        </is>
      </c>
      <c r="E17" s="7">
        <f>SUMIFS(Invoices!$G$2:$G$5000,Invoices!$E$2:$E$5000,$D17)</f>
        <v/>
      </c>
    </row>
    <row r="18">
      <c r="A18" t="inlineStr">
        <is>
          <t>Inspection</t>
        </is>
      </c>
      <c r="B18" s="7">
        <f>SUMIFS(Invoices!$G$2:$G$5000,Invoices!$F$2:$F$5000,$A18)</f>
        <v/>
      </c>
      <c r="D18" t="inlineStr">
        <is>
          <t>Rooftop HVAC Unit</t>
        </is>
      </c>
      <c r="E18" s="7">
        <f>SUMIFS(Invoices!$G$2:$G$5000,Invoices!$E$2:$E$5000,$D18)</f>
        <v/>
      </c>
    </row>
    <row r="19">
      <c r="A19" t="inlineStr">
        <is>
          <t>Emergency</t>
        </is>
      </c>
      <c r="B19" s="7">
        <f>SUMIFS(Invoices!$G$2:$G$5000,Invoices!$F$2:$F$5000,$A19)</f>
        <v/>
      </c>
      <c r="D19" t="inlineStr">
        <is>
          <t>Mini-split AC</t>
        </is>
      </c>
      <c r="E19" s="7">
        <f>SUMIFS(Invoices!$G$2:$G$5000,Invoices!$E$2:$E$5000,$D19)</f>
        <v/>
      </c>
    </row>
    <row r="20">
      <c r="D20" t="inlineStr">
        <is>
          <t>POS Terminal</t>
        </is>
      </c>
      <c r="E20" s="7">
        <f>SUMIFS(Invoices!$G$2:$G$5000,Invoices!$E$2:$E$5000,$D20)</f>
        <v/>
      </c>
    </row>
    <row r="21">
      <c r="D21" t="inlineStr">
        <is>
          <t>Receipt Printer</t>
        </is>
      </c>
      <c r="E21" s="7">
        <f>SUMIFS(Invoices!$G$2:$G$5000,Invoices!$E$2:$E$5000,$D21)</f>
        <v/>
      </c>
    </row>
    <row r="22">
      <c r="D22" t="inlineStr">
        <is>
          <t>Security / CCTV</t>
        </is>
      </c>
      <c r="E22" s="7">
        <f>SUMIFS(Invoices!$G$2:$G$5000,Invoices!$E$2:$E$5000,$D22)</f>
        <v/>
      </c>
    </row>
    <row r="23">
      <c r="D23" t="inlineStr">
        <is>
          <t>Lighting / Electrical</t>
        </is>
      </c>
      <c r="E23" s="7">
        <f>SUMIFS(Invoices!$G$2:$G$5000,Invoices!$E$2:$E$5000,$D23)</f>
        <v/>
      </c>
    </row>
    <row r="25">
      <c r="D25" s="4" t="inlineStr">
        <is>
          <t>Monthly Spend (last 12 months)</t>
        </is>
      </c>
    </row>
    <row r="26">
      <c r="D26" s="10" t="inlineStr">
        <is>
          <t>Month</t>
        </is>
      </c>
      <c r="E26" s="10" t="inlineStr">
        <is>
          <t>Total ($)</t>
        </is>
      </c>
    </row>
    <row r="27">
      <c r="D27" t="inlineStr">
        <is>
          <t>2025-07</t>
        </is>
      </c>
      <c r="E27" s="7">
        <f>SUMIFS(Invoices!$G$2:$G$5000,Invoices!$C$2:$C$5000,$D27)</f>
        <v/>
      </c>
    </row>
    <row r="28">
      <c r="D28" t="inlineStr">
        <is>
          <t>2025-08</t>
        </is>
      </c>
      <c r="E28" s="7">
        <f>SUMIFS(Invoices!$G$2:$G$5000,Invoices!$C$2:$C$5000,$D28)</f>
        <v/>
      </c>
    </row>
    <row r="29">
      <c r="D29" t="inlineStr">
        <is>
          <t>2025-09</t>
        </is>
      </c>
      <c r="E29" s="7">
        <f>SUMIFS(Invoices!$G$2:$G$5000,Invoices!$C$2:$C$5000,$D29)</f>
        <v/>
      </c>
    </row>
    <row r="30">
      <c r="D30" t="inlineStr">
        <is>
          <t>2025-10</t>
        </is>
      </c>
      <c r="E30" s="7">
        <f>SUMIFS(Invoices!$G$2:$G$5000,Invoices!$C$2:$C$5000,$D30)</f>
        <v/>
      </c>
    </row>
    <row r="31">
      <c r="D31" t="inlineStr">
        <is>
          <t>2025-11</t>
        </is>
      </c>
      <c r="E31" s="7">
        <f>SUMIFS(Invoices!$G$2:$G$5000,Invoices!$C$2:$C$5000,$D31)</f>
        <v/>
      </c>
    </row>
    <row r="32">
      <c r="D32" t="inlineStr">
        <is>
          <t>2025-12</t>
        </is>
      </c>
      <c r="E32" s="7">
        <f>SUMIFS(Invoices!$G$2:$G$5000,Invoices!$C$2:$C$5000,$D32)</f>
        <v/>
      </c>
    </row>
    <row r="33">
      <c r="D33" t="inlineStr">
        <is>
          <t>2026-01</t>
        </is>
      </c>
      <c r="E33" s="7">
        <f>SUMIFS(Invoices!$G$2:$G$5000,Invoices!$C$2:$C$5000,$D33)</f>
        <v/>
      </c>
    </row>
    <row r="34">
      <c r="D34" t="inlineStr">
        <is>
          <t>2026-02</t>
        </is>
      </c>
      <c r="E34" s="7">
        <f>SUMIFS(Invoices!$G$2:$G$5000,Invoices!$C$2:$C$5000,$D34)</f>
        <v/>
      </c>
    </row>
    <row r="35">
      <c r="D35" t="inlineStr">
        <is>
          <t>2026-03</t>
        </is>
      </c>
      <c r="E35" s="7">
        <f>SUMIFS(Invoices!$G$2:$G$5000,Invoices!$C$2:$C$5000,$D35)</f>
        <v/>
      </c>
    </row>
    <row r="36">
      <c r="D36" t="inlineStr">
        <is>
          <t>2026-04</t>
        </is>
      </c>
      <c r="E36" s="7">
        <f>SUMIFS(Invoices!$G$2:$G$5000,Invoices!$C$2:$C$5000,$D36)</f>
        <v/>
      </c>
    </row>
    <row r="37">
      <c r="D37" t="inlineStr">
        <is>
          <t>2026-05</t>
        </is>
      </c>
      <c r="E37" s="7">
        <f>SUMIFS(Invoices!$G$2:$G$5000,Invoices!$C$2:$C$5000,$D37)</f>
        <v/>
      </c>
    </row>
    <row r="38">
      <c r="D38" t="inlineStr">
        <is>
          <t>2026-06</t>
        </is>
      </c>
      <c r="E38" s="7">
        <f>SUMIFS(Invoices!$G$2:$G$5000,Invoices!$C$2:$C$5000,$D38)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2026-06-01T21:40:03Z</dcterms:created>
  <dcterms:modified xsi:type="dcterms:W3CDTF">2026-06-01T21:40:03Z</dcterms:modified>
</cp:coreProperties>
</file>